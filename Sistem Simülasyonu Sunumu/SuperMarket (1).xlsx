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ocuments\"/>
    </mc:Choice>
  </mc:AlternateContent>
  <xr:revisionPtr revIDLastSave="0" documentId="8_{3D3E7B5D-9F77-4284-9531-153FF11ADD63}" xr6:coauthVersionLast="47" xr6:coauthVersionMax="47" xr10:uidLastSave="{00000000-0000-0000-0000-000000000000}"/>
  <bookViews>
    <workbookView xWindow="-110" yWindow="-110" windowWidth="19420" windowHeight="10300" firstSheet="1" activeTab="4" xr2:uid="{4B0D274F-13D7-4316-881C-3BE84F125887}"/>
  </bookViews>
  <sheets>
    <sheet name="SuperMarket" sheetId="1" r:id="rId1"/>
    <sheet name="Histogram Analizi" sheetId="3" r:id="rId2"/>
    <sheet name="Histogram" sheetId="2" r:id="rId3"/>
    <sheet name="RNG" sheetId="5" r:id="rId4"/>
    <sheet name="Simulasyon" sheetId="6" r:id="rId5"/>
  </sheets>
  <definedNames>
    <definedName name="_xlnm._FilterDatabase" localSheetId="0" hidden="1">SuperMarket!$T$1:$T$1007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6" l="1"/>
  <c r="M3" i="6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8" i="6"/>
  <c r="G8" i="6" s="1"/>
  <c r="M5" i="6"/>
  <c r="A8" i="5"/>
  <c r="F8" i="5"/>
  <c r="A9" i="5"/>
  <c r="F9" i="5"/>
  <c r="A10" i="5"/>
  <c r="F10" i="5"/>
  <c r="A11" i="5"/>
  <c r="F11" i="5"/>
  <c r="A12" i="5"/>
  <c r="F12" i="5"/>
  <c r="A13" i="5"/>
  <c r="F13" i="5"/>
  <c r="A14" i="5"/>
  <c r="F14" i="5"/>
  <c r="A15" i="5"/>
  <c r="F15" i="5"/>
  <c r="A16" i="5"/>
  <c r="F16" i="5"/>
  <c r="A17" i="5"/>
  <c r="F17" i="5"/>
  <c r="A18" i="5"/>
  <c r="F18" i="5"/>
  <c r="A19" i="5"/>
  <c r="F19" i="5"/>
  <c r="A20" i="5"/>
  <c r="F20" i="5"/>
  <c r="A21" i="5"/>
  <c r="F21" i="5"/>
  <c r="A22" i="5"/>
  <c r="F22" i="5"/>
  <c r="A23" i="5"/>
  <c r="F23" i="5"/>
  <c r="A24" i="5"/>
  <c r="F24" i="5"/>
  <c r="A25" i="5"/>
  <c r="F25" i="5"/>
  <c r="A26" i="5"/>
  <c r="F26" i="5"/>
  <c r="A27" i="5"/>
  <c r="F27" i="5"/>
  <c r="A28" i="5"/>
  <c r="F28" i="5"/>
  <c r="A29" i="5"/>
  <c r="F29" i="5"/>
  <c r="A30" i="5"/>
  <c r="F30" i="5"/>
  <c r="A31" i="5"/>
  <c r="F31" i="5"/>
  <c r="A32" i="5"/>
  <c r="F32" i="5"/>
  <c r="A33" i="5"/>
  <c r="F33" i="5"/>
  <c r="A34" i="5"/>
  <c r="F34" i="5"/>
  <c r="A35" i="5"/>
  <c r="F35" i="5"/>
  <c r="A36" i="5"/>
  <c r="F36" i="5"/>
  <c r="A37" i="5"/>
  <c r="F37" i="5"/>
  <c r="A38" i="5"/>
  <c r="F38" i="5"/>
  <c r="A39" i="5"/>
  <c r="F39" i="5"/>
  <c r="A40" i="5"/>
  <c r="F40" i="5"/>
  <c r="A41" i="5"/>
  <c r="F41" i="5"/>
  <c r="A42" i="5"/>
  <c r="F42" i="5"/>
  <c r="A43" i="5"/>
  <c r="F43" i="5"/>
  <c r="A44" i="5"/>
  <c r="F44" i="5"/>
  <c r="A45" i="5"/>
  <c r="F45" i="5"/>
  <c r="A46" i="5"/>
  <c r="F46" i="5"/>
  <c r="A47" i="5"/>
  <c r="F47" i="5"/>
  <c r="A48" i="5"/>
  <c r="F48" i="5"/>
  <c r="A49" i="5"/>
  <c r="F49" i="5"/>
  <c r="A50" i="5"/>
  <c r="F50" i="5"/>
  <c r="A51" i="5"/>
  <c r="F51" i="5"/>
  <c r="A52" i="5"/>
  <c r="F52" i="5"/>
  <c r="A53" i="5"/>
  <c r="F53" i="5"/>
  <c r="A54" i="5"/>
  <c r="F54" i="5"/>
  <c r="A55" i="5"/>
  <c r="F55" i="5"/>
  <c r="A56" i="5"/>
  <c r="F56" i="5"/>
  <c r="B7" i="5"/>
  <c r="C7" i="5" s="1"/>
  <c r="B1" i="6"/>
  <c r="L9" i="5"/>
  <c r="B8" i="5" l="1"/>
  <c r="B7" i="6" a="1"/>
  <c r="B7" i="6" s="1"/>
  <c r="C7" i="6" s="1"/>
  <c r="D7" i="6" s="1"/>
  <c r="G7" i="6" s="1"/>
  <c r="I7" i="6" s="1"/>
  <c r="L20" i="2"/>
  <c r="M20" i="2"/>
  <c r="L10" i="2"/>
  <c r="K11" i="2" s="1"/>
  <c r="M10" i="2"/>
  <c r="L11" i="2"/>
  <c r="K12" i="2" s="1"/>
  <c r="M11" i="2"/>
  <c r="L12" i="2"/>
  <c r="K13" i="2" s="1"/>
  <c r="M12" i="2"/>
  <c r="L13" i="2"/>
  <c r="K14" i="2" s="1"/>
  <c r="M13" i="2"/>
  <c r="L14" i="2"/>
  <c r="K15" i="2" s="1"/>
  <c r="M14" i="2"/>
  <c r="L15" i="2"/>
  <c r="K16" i="2" s="1"/>
  <c r="M15" i="2"/>
  <c r="L16" i="2"/>
  <c r="K17" i="2" s="1"/>
  <c r="M16" i="2"/>
  <c r="L17" i="2"/>
  <c r="K18" i="2" s="1"/>
  <c r="M17" i="2"/>
  <c r="L18" i="2"/>
  <c r="K19" i="2" s="1"/>
  <c r="M18" i="2"/>
  <c r="L19" i="2"/>
  <c r="K20" i="2" s="1"/>
  <c r="M19" i="2"/>
  <c r="L5" i="2"/>
  <c r="K6" i="2" s="1"/>
  <c r="M5" i="2"/>
  <c r="L6" i="2"/>
  <c r="K7" i="2" s="1"/>
  <c r="M6" i="2"/>
  <c r="L7" i="2"/>
  <c r="K8" i="2" s="1"/>
  <c r="M7" i="2"/>
  <c r="L8" i="2"/>
  <c r="K9" i="2" s="1"/>
  <c r="M8" i="2"/>
  <c r="L9" i="2"/>
  <c r="K10" i="2" s="1"/>
  <c r="M9" i="2"/>
  <c r="L3" i="2"/>
  <c r="K4" i="2" s="1"/>
  <c r="L4" i="2"/>
  <c r="K5" i="2" s="1"/>
  <c r="M4" i="2"/>
  <c r="M3" i="2"/>
  <c r="M2" i="2"/>
  <c r="L2" i="2"/>
  <c r="K3" i="2" s="1"/>
  <c r="C8" i="5" l="1"/>
  <c r="B9" i="5"/>
  <c r="R2" i="2"/>
  <c r="E7" i="6" l="1" a="1"/>
  <c r="E7" i="6" s="1"/>
  <c r="F7" i="6" s="1"/>
  <c r="C9" i="5"/>
  <c r="B8" i="6" s="1" a="1"/>
  <c r="B8" i="6" s="1"/>
  <c r="C8" i="6" s="1"/>
  <c r="I8" i="6" s="1"/>
  <c r="B10" i="5"/>
  <c r="H7" i="6" l="1"/>
  <c r="J7" i="6" s="1"/>
  <c r="C10" i="5"/>
  <c r="B11" i="5"/>
  <c r="G4" i="2"/>
  <c r="E4" i="2"/>
  <c r="E8" i="2" s="1"/>
  <c r="T888" i="1"/>
  <c r="S221" i="1"/>
  <c r="T221" i="1" s="1"/>
  <c r="S150" i="1"/>
  <c r="T150" i="1" s="1"/>
  <c r="S200" i="1"/>
  <c r="T200" i="1" s="1"/>
  <c r="S162" i="1"/>
  <c r="T162" i="1" s="1"/>
  <c r="S260" i="1"/>
  <c r="T260" i="1" s="1"/>
  <c r="S2" i="1"/>
  <c r="T2" i="1" s="1"/>
  <c r="S608" i="1"/>
  <c r="T608" i="1" s="1"/>
  <c r="S888" i="1"/>
  <c r="S580" i="1"/>
  <c r="T580" i="1" s="1"/>
  <c r="S254" i="1"/>
  <c r="T254" i="1" s="1"/>
  <c r="S274" i="1"/>
  <c r="T274" i="1" s="1"/>
  <c r="S689" i="1"/>
  <c r="T689" i="1" s="1"/>
  <c r="S799" i="1"/>
  <c r="T799" i="1" s="1"/>
  <c r="S490" i="1"/>
  <c r="T490" i="1" s="1"/>
  <c r="S649" i="1"/>
  <c r="T649" i="1" s="1"/>
  <c r="S596" i="1"/>
  <c r="T596" i="1" s="1"/>
  <c r="S325" i="1"/>
  <c r="T325" i="1" s="1"/>
  <c r="S884" i="1"/>
  <c r="T884" i="1" s="1"/>
  <c r="S91" i="1"/>
  <c r="T91" i="1" s="1"/>
  <c r="S82" i="1"/>
  <c r="T82" i="1" s="1"/>
  <c r="S744" i="1"/>
  <c r="T744" i="1" s="1"/>
  <c r="S928" i="1"/>
  <c r="T928" i="1" s="1"/>
  <c r="S985" i="1"/>
  <c r="T985" i="1" s="1"/>
  <c r="S667" i="1"/>
  <c r="T667" i="1" s="1"/>
  <c r="S896" i="1"/>
  <c r="T896" i="1" s="1"/>
  <c r="S796" i="1"/>
  <c r="T796" i="1" s="1"/>
  <c r="S41" i="1"/>
  <c r="T41" i="1" s="1"/>
  <c r="S980" i="1"/>
  <c r="T980" i="1" s="1"/>
  <c r="S466" i="1"/>
  <c r="T466" i="1" s="1"/>
  <c r="S393" i="1"/>
  <c r="T393" i="1" s="1"/>
  <c r="S710" i="1"/>
  <c r="T710" i="1" s="1"/>
  <c r="S104" i="1"/>
  <c r="T104" i="1" s="1"/>
  <c r="S516" i="1"/>
  <c r="T516" i="1" s="1"/>
  <c r="S878" i="1"/>
  <c r="T878" i="1" s="1"/>
  <c r="S156" i="1"/>
  <c r="T156" i="1" s="1"/>
  <c r="S652" i="1"/>
  <c r="T652" i="1" s="1"/>
  <c r="S776" i="1"/>
  <c r="T776" i="1" s="1"/>
  <c r="S671" i="1"/>
  <c r="T671" i="1" s="1"/>
  <c r="S9" i="1"/>
  <c r="T9" i="1" s="1"/>
  <c r="S423" i="1"/>
  <c r="T423" i="1" s="1"/>
  <c r="S400" i="1"/>
  <c r="T400" i="1" s="1"/>
  <c r="S847" i="1"/>
  <c r="T847" i="1" s="1"/>
  <c r="S833" i="1"/>
  <c r="T833" i="1" s="1"/>
  <c r="S480" i="1"/>
  <c r="T480" i="1" s="1"/>
  <c r="S388" i="1"/>
  <c r="T388" i="1" s="1"/>
  <c r="S284" i="1"/>
  <c r="T284" i="1" s="1"/>
  <c r="S307" i="1"/>
  <c r="T307" i="1" s="1"/>
  <c r="S782" i="1"/>
  <c r="T782" i="1" s="1"/>
  <c r="S715" i="1"/>
  <c r="T715" i="1" s="1"/>
  <c r="S469" i="1"/>
  <c r="T469" i="1" s="1"/>
  <c r="S505" i="1"/>
  <c r="T505" i="1" s="1"/>
  <c r="S682" i="1"/>
  <c r="T682" i="1" s="1"/>
  <c r="S666" i="1"/>
  <c r="T666" i="1" s="1"/>
  <c r="S352" i="1"/>
  <c r="T352" i="1" s="1"/>
  <c r="S193" i="1"/>
  <c r="T193" i="1" s="1"/>
  <c r="S497" i="1"/>
  <c r="T497" i="1" s="1"/>
  <c r="S708" i="1"/>
  <c r="T708" i="1" s="1"/>
  <c r="S548" i="1"/>
  <c r="T548" i="1" s="1"/>
  <c r="S894" i="1"/>
  <c r="T894" i="1" s="1"/>
  <c r="S14" i="1"/>
  <c r="T14" i="1" s="1"/>
  <c r="S453" i="1"/>
  <c r="T453" i="1" s="1"/>
  <c r="S277" i="1"/>
  <c r="T277" i="1" s="1"/>
  <c r="S138" i="1"/>
  <c r="T138" i="1" s="1"/>
  <c r="S165" i="1"/>
  <c r="T165" i="1" s="1"/>
  <c r="S153" i="1"/>
  <c r="T153" i="1" s="1"/>
  <c r="S265" i="1"/>
  <c r="T265" i="1" s="1"/>
  <c r="S24" i="1"/>
  <c r="T24" i="1" s="1"/>
  <c r="S917" i="1"/>
  <c r="T917" i="1" s="1"/>
  <c r="S19" i="1"/>
  <c r="T19" i="1" s="1"/>
  <c r="S77" i="1"/>
  <c r="T77" i="1" s="1"/>
  <c r="S616" i="1"/>
  <c r="T616" i="1" s="1"/>
  <c r="S996" i="1"/>
  <c r="T996" i="1" s="1"/>
  <c r="S32" i="1"/>
  <c r="T32" i="1" s="1"/>
  <c r="S735" i="1"/>
  <c r="T735" i="1" s="1"/>
  <c r="S121" i="1"/>
  <c r="T121" i="1" s="1"/>
  <c r="S890" i="1"/>
  <c r="T890" i="1" s="1"/>
  <c r="S732" i="1"/>
  <c r="T732" i="1" s="1"/>
  <c r="S57" i="1"/>
  <c r="T57" i="1" s="1"/>
  <c r="S938" i="1"/>
  <c r="T938" i="1" s="1"/>
  <c r="S416" i="1"/>
  <c r="T416" i="1" s="1"/>
  <c r="S315" i="1"/>
  <c r="T315" i="1" s="1"/>
  <c r="S270" i="1"/>
  <c r="T270" i="1" s="1"/>
  <c r="S296" i="1"/>
  <c r="T296" i="1" s="1"/>
  <c r="S537" i="1"/>
  <c r="T537" i="1" s="1"/>
  <c r="S993" i="1"/>
  <c r="T993" i="1" s="1"/>
  <c r="S740" i="1"/>
  <c r="T740" i="1" s="1"/>
  <c r="S554" i="1"/>
  <c r="T554" i="1" s="1"/>
  <c r="S910" i="1"/>
  <c r="T910" i="1" s="1"/>
  <c r="S360" i="1"/>
  <c r="T360" i="1" s="1"/>
  <c r="S176" i="1"/>
  <c r="T176" i="1" s="1"/>
  <c r="S687" i="1"/>
  <c r="T687" i="1" s="1"/>
  <c r="S313" i="1"/>
  <c r="T313" i="1" s="1"/>
  <c r="S48" i="1"/>
  <c r="T48" i="1" s="1"/>
  <c r="S444" i="1"/>
  <c r="T444" i="1" s="1"/>
  <c r="S35" i="1"/>
  <c r="T35" i="1" s="1"/>
  <c r="S446" i="1"/>
  <c r="T446" i="1" s="1"/>
  <c r="S935" i="1"/>
  <c r="T935" i="1" s="1"/>
  <c r="S605" i="1"/>
  <c r="T605" i="1" s="1"/>
  <c r="S237" i="1"/>
  <c r="T237" i="1" s="1"/>
  <c r="S267" i="1"/>
  <c r="T267" i="1" s="1"/>
  <c r="S624" i="1"/>
  <c r="T624" i="1" s="1"/>
  <c r="S579" i="1"/>
  <c r="T579" i="1" s="1"/>
  <c r="S528" i="1"/>
  <c r="T528" i="1" s="1"/>
  <c r="S345" i="1"/>
  <c r="T345" i="1" s="1"/>
  <c r="S12" i="1"/>
  <c r="T12" i="1" s="1"/>
  <c r="S746" i="1"/>
  <c r="T746" i="1" s="1"/>
  <c r="S133" i="1"/>
  <c r="T133" i="1" s="1"/>
  <c r="S244" i="1"/>
  <c r="T244" i="1" s="1"/>
  <c r="S50" i="1"/>
  <c r="T50" i="1" s="1"/>
  <c r="S850" i="1"/>
  <c r="T850" i="1" s="1"/>
  <c r="S881" i="1"/>
  <c r="T881" i="1" s="1"/>
  <c r="S576" i="1"/>
  <c r="T576" i="1" s="1"/>
  <c r="S805" i="1"/>
  <c r="T805" i="1" s="1"/>
  <c r="S960" i="1"/>
  <c r="T960" i="1" s="1"/>
  <c r="S898" i="1"/>
  <c r="T898" i="1" s="1"/>
  <c r="S853" i="1"/>
  <c r="T853" i="1" s="1"/>
  <c r="S282" i="1"/>
  <c r="T282" i="1" s="1"/>
  <c r="S632" i="1"/>
  <c r="T632" i="1" s="1"/>
  <c r="S112" i="1"/>
  <c r="T112" i="1" s="1"/>
  <c r="S27" i="1"/>
  <c r="T27" i="1" s="1"/>
  <c r="S648" i="1"/>
  <c r="T648" i="1" s="1"/>
  <c r="S560" i="1"/>
  <c r="T560" i="1" s="1"/>
  <c r="S462" i="1"/>
  <c r="T462" i="1" s="1"/>
  <c r="S912" i="1"/>
  <c r="T912" i="1" s="1"/>
  <c r="S770" i="1"/>
  <c r="T770" i="1" s="1"/>
  <c r="S407" i="1"/>
  <c r="T407" i="1" s="1"/>
  <c r="S124" i="1"/>
  <c r="T124" i="1" s="1"/>
  <c r="S683" i="1"/>
  <c r="T683" i="1" s="1"/>
  <c r="S441" i="1"/>
  <c r="T441" i="1" s="1"/>
  <c r="S659" i="1"/>
  <c r="T659" i="1" s="1"/>
  <c r="S972" i="1"/>
  <c r="T972" i="1" s="1"/>
  <c r="S143" i="1"/>
  <c r="T143" i="1" s="1"/>
  <c r="S380" i="1"/>
  <c r="T380" i="1" s="1"/>
  <c r="S474" i="1"/>
  <c r="T474" i="1" s="1"/>
  <c r="S988" i="1"/>
  <c r="T988" i="1" s="1"/>
  <c r="S821" i="1"/>
  <c r="T821" i="1" s="1"/>
  <c r="S355" i="1"/>
  <c r="T355" i="1" s="1"/>
  <c r="S241" i="1"/>
  <c r="T241" i="1" s="1"/>
  <c r="S680" i="1"/>
  <c r="T680" i="1" s="1"/>
  <c r="S500" i="1"/>
  <c r="T500" i="1" s="1"/>
  <c r="S639" i="1"/>
  <c r="T639" i="1" s="1"/>
  <c r="S84" i="1"/>
  <c r="T84" i="1" s="1"/>
  <c r="S918" i="1"/>
  <c r="T918" i="1" s="1"/>
  <c r="S405" i="1"/>
  <c r="T405" i="1" s="1"/>
  <c r="S7" i="1"/>
  <c r="T7" i="1" s="1"/>
  <c r="S336" i="1"/>
  <c r="T336" i="1" s="1"/>
  <c r="S842" i="1"/>
  <c r="T842" i="1" s="1"/>
  <c r="S642" i="1"/>
  <c r="T642" i="1" s="1"/>
  <c r="S371" i="1"/>
  <c r="T371" i="1" s="1"/>
  <c r="S947" i="1"/>
  <c r="T947" i="1" s="1"/>
  <c r="S904" i="1"/>
  <c r="T904" i="1" s="1"/>
  <c r="S562" i="1"/>
  <c r="T562" i="1" s="1"/>
  <c r="S766" i="1"/>
  <c r="T766" i="1" s="1"/>
  <c r="S330" i="1"/>
  <c r="T330" i="1" s="1"/>
  <c r="S374" i="1"/>
  <c r="T374" i="1" s="1"/>
  <c r="S248" i="1"/>
  <c r="T248" i="1" s="1"/>
  <c r="S235" i="1"/>
  <c r="T235" i="1" s="1"/>
  <c r="S637" i="1"/>
  <c r="T637" i="1" s="1"/>
  <c r="S965" i="1"/>
  <c r="T965" i="1" s="1"/>
  <c r="S598" i="1"/>
  <c r="T598" i="1" s="1"/>
  <c r="S662" i="1"/>
  <c r="T662" i="1" s="1"/>
  <c r="S408" i="1"/>
  <c r="T408" i="1" s="1"/>
  <c r="S891" i="1"/>
  <c r="T891" i="1" s="1"/>
  <c r="S61" i="1"/>
  <c r="T61" i="1" s="1"/>
  <c r="S457" i="1"/>
  <c r="T457" i="1" s="1"/>
  <c r="S724" i="1"/>
  <c r="T724" i="1" s="1"/>
  <c r="S845" i="1"/>
  <c r="T845" i="1" s="1"/>
  <c r="S520" i="1"/>
  <c r="T520" i="1" s="1"/>
  <c r="S860" i="1"/>
  <c r="T860" i="1" s="1"/>
  <c r="S396" i="1"/>
  <c r="T396" i="1" s="1"/>
  <c r="S215" i="1"/>
  <c r="T215" i="1" s="1"/>
  <c r="S519" i="1"/>
  <c r="T519" i="1" s="1"/>
  <c r="S197" i="1"/>
  <c r="T197" i="1" s="1"/>
  <c r="S383" i="1"/>
  <c r="T383" i="1" s="1"/>
  <c r="S363" i="1"/>
  <c r="T363" i="1" s="1"/>
  <c r="S55" i="1"/>
  <c r="T55" i="1" s="1"/>
  <c r="S170" i="1"/>
  <c r="T170" i="1" s="1"/>
  <c r="S761" i="1"/>
  <c r="T761" i="1" s="1"/>
  <c r="S839" i="1"/>
  <c r="T839" i="1" s="1"/>
  <c r="S358" i="1"/>
  <c r="T358" i="1" s="1"/>
  <c r="S809" i="1"/>
  <c r="T809" i="1" s="1"/>
  <c r="S65" i="1"/>
  <c r="T65" i="1" s="1"/>
  <c r="S692" i="1"/>
  <c r="T692" i="1" s="1"/>
  <c r="S957" i="1"/>
  <c r="T957" i="1" s="1"/>
  <c r="S599" i="1"/>
  <c r="T599" i="1" s="1"/>
  <c r="S213" i="1"/>
  <c r="T213" i="1" s="1"/>
  <c r="S410" i="1"/>
  <c r="T410" i="1" s="1"/>
  <c r="S932" i="1"/>
  <c r="T932" i="1" s="1"/>
  <c r="S290" i="1"/>
  <c r="T290" i="1" s="1"/>
  <c r="S976" i="1"/>
  <c r="T976" i="1" s="1"/>
  <c r="S190" i="1"/>
  <c r="T190" i="1" s="1"/>
  <c r="S678" i="1"/>
  <c r="T678" i="1" s="1"/>
  <c r="S786" i="1"/>
  <c r="T786" i="1" s="1"/>
  <c r="S619" i="1"/>
  <c r="T619" i="1" s="1"/>
  <c r="S128" i="1"/>
  <c r="T128" i="1" s="1"/>
  <c r="S194" i="1"/>
  <c r="T194" i="1" s="1"/>
  <c r="S494" i="1"/>
  <c r="T494" i="1" s="1"/>
  <c r="S319" i="1"/>
  <c r="T319" i="1" s="1"/>
  <c r="S73" i="1"/>
  <c r="T73" i="1" s="1"/>
  <c r="S863" i="1"/>
  <c r="T863" i="1" s="1"/>
  <c r="S815" i="1"/>
  <c r="T815" i="1" s="1"/>
  <c r="S349" i="1"/>
  <c r="T349" i="1" s="1"/>
  <c r="S870" i="1"/>
  <c r="T870" i="1" s="1"/>
  <c r="S749" i="1"/>
  <c r="T749" i="1" s="1"/>
  <c r="S206" i="1"/>
  <c r="T206" i="1" s="1"/>
  <c r="S759" i="1"/>
  <c r="T759" i="1" s="1"/>
  <c r="S533" i="1"/>
  <c r="T533" i="1" s="1"/>
  <c r="S280" i="1"/>
  <c r="T280" i="1" s="1"/>
  <c r="S792" i="1"/>
  <c r="T792" i="1" s="1"/>
  <c r="S830" i="1"/>
  <c r="T830" i="1" s="1"/>
  <c r="S300" i="1"/>
  <c r="T300" i="1" s="1"/>
  <c r="S657" i="1"/>
  <c r="T657" i="1" s="1"/>
  <c r="S198" i="1"/>
  <c r="T198" i="1" s="1"/>
  <c r="S226" i="1"/>
  <c r="T226" i="1" s="1"/>
  <c r="S503" i="1"/>
  <c r="T503" i="1" s="1"/>
  <c r="S369" i="1"/>
  <c r="T369" i="1" s="1"/>
  <c r="S167" i="1"/>
  <c r="T167" i="1" s="1"/>
  <c r="S611" i="1"/>
  <c r="T611" i="1" s="1"/>
  <c r="S31" i="1"/>
  <c r="T31" i="1" s="1"/>
  <c r="S721" i="1"/>
  <c r="T721" i="1" s="1"/>
  <c r="S674" i="1"/>
  <c r="T674" i="1" s="1"/>
  <c r="S218" i="1"/>
  <c r="T218" i="1" s="1"/>
  <c r="S101" i="1"/>
  <c r="T101" i="1" s="1"/>
  <c r="S117" i="1"/>
  <c r="T117" i="1" s="1"/>
  <c r="S96" i="1"/>
  <c r="T96" i="1" s="1"/>
  <c r="S186" i="1"/>
  <c r="T186" i="1" s="1"/>
  <c r="S540" i="1"/>
  <c r="T540" i="1" s="1"/>
  <c r="S512" i="1"/>
  <c r="T512" i="1" s="1"/>
  <c r="S874" i="1"/>
  <c r="T874" i="1" s="1"/>
  <c r="S635" i="1"/>
  <c r="T635" i="1" s="1"/>
  <c r="S729" i="1"/>
  <c r="T729" i="1" s="1"/>
  <c r="S175" i="1"/>
  <c r="T175" i="1" s="1"/>
  <c r="S435" i="1"/>
  <c r="T435" i="1" s="1"/>
  <c r="S956" i="1"/>
  <c r="T956" i="1" s="1"/>
  <c r="S402" i="1"/>
  <c r="T402" i="1" s="1"/>
  <c r="S998" i="1"/>
  <c r="T998" i="1" s="1"/>
  <c r="S44" i="1"/>
  <c r="T44" i="1" s="1"/>
  <c r="S943" i="1"/>
  <c r="T943" i="1" s="1"/>
  <c r="S875" i="1"/>
  <c r="T875" i="1" s="1"/>
  <c r="S811" i="1"/>
  <c r="T811" i="1" s="1"/>
  <c r="S110" i="1"/>
  <c r="T110" i="1" s="1"/>
  <c r="S433" i="1"/>
  <c r="T433" i="1" s="1"/>
  <c r="S145" i="1"/>
  <c r="T145" i="1" s="1"/>
  <c r="S118" i="1"/>
  <c r="T118" i="1" s="1"/>
  <c r="S567" i="1"/>
  <c r="T567" i="1" s="1"/>
  <c r="S705" i="1"/>
  <c r="T705" i="1" s="1"/>
  <c r="S653" i="1"/>
  <c r="T653" i="1" s="1"/>
  <c r="S208" i="1"/>
  <c r="T208" i="1" s="1"/>
  <c r="S338" i="1"/>
  <c r="T338" i="1" s="1"/>
  <c r="S975" i="1"/>
  <c r="T975" i="1" s="1"/>
  <c r="S992" i="1"/>
  <c r="T992" i="1" s="1"/>
  <c r="S526" i="1"/>
  <c r="T526" i="1" s="1"/>
  <c r="S712" i="1"/>
  <c r="T712" i="1" s="1"/>
  <c r="S486" i="1"/>
  <c r="T486" i="1" s="1"/>
  <c r="S962" i="1"/>
  <c r="T962" i="1" s="1"/>
  <c r="S342" i="1"/>
  <c r="T342" i="1" s="1"/>
  <c r="S160" i="1"/>
  <c r="T160" i="1" s="1"/>
  <c r="S590" i="1"/>
  <c r="T590" i="1" s="1"/>
  <c r="S700" i="1"/>
  <c r="T700" i="1" s="1"/>
  <c r="S518" i="1"/>
  <c r="T518" i="1" s="1"/>
  <c r="S867" i="1"/>
  <c r="T867" i="1" s="1"/>
  <c r="S183" i="1"/>
  <c r="T183" i="1" s="1"/>
  <c r="R922" i="1"/>
  <c r="R221" i="1"/>
  <c r="R109" i="1"/>
  <c r="R150" i="1"/>
  <c r="R986" i="1"/>
  <c r="R200" i="1"/>
  <c r="R885" i="1"/>
  <c r="R34" i="1"/>
  <c r="R521" i="1"/>
  <c r="R472" i="1"/>
  <c r="R602" i="1"/>
  <c r="R162" i="1"/>
  <c r="R149" i="1"/>
  <c r="R337" i="1"/>
  <c r="R391" i="1"/>
  <c r="R260" i="1"/>
  <c r="R2" i="1"/>
  <c r="R80" i="1"/>
  <c r="R608" i="1"/>
  <c r="R888" i="1"/>
  <c r="R580" i="1"/>
  <c r="R627" i="1"/>
  <c r="R177" i="1"/>
  <c r="R219" i="1"/>
  <c r="R304" i="1"/>
  <c r="R485" i="1"/>
  <c r="R254" i="1"/>
  <c r="R422" i="1"/>
  <c r="R275" i="1"/>
  <c r="R546" i="1"/>
  <c r="R436" i="1"/>
  <c r="R373" i="1"/>
  <c r="R274" i="1"/>
  <c r="R816" i="1"/>
  <c r="R689" i="1"/>
  <c r="R257" i="1"/>
  <c r="R53" i="1"/>
  <c r="R978" i="1"/>
  <c r="R577" i="1"/>
  <c r="R399" i="1"/>
  <c r="R799" i="1"/>
  <c r="R483" i="1"/>
  <c r="R911" i="1"/>
  <c r="R959" i="1"/>
  <c r="R604" i="1"/>
  <c r="R555" i="1"/>
  <c r="R471" i="1"/>
  <c r="R490" i="1"/>
  <c r="R970" i="1"/>
  <c r="R806" i="1"/>
  <c r="R159" i="1"/>
  <c r="R649" i="1"/>
  <c r="R764" i="1"/>
  <c r="R596" i="1"/>
  <c r="R895" i="1"/>
  <c r="R325" i="1"/>
  <c r="R147" i="1"/>
  <c r="R74" i="1"/>
  <c r="R942" i="1"/>
  <c r="R858" i="1"/>
  <c r="R884" i="1"/>
  <c r="R458" i="1"/>
  <c r="R238" i="1"/>
  <c r="R504" i="1"/>
  <c r="R268" i="1"/>
  <c r="R840" i="1"/>
  <c r="R361" i="1"/>
  <c r="R91" i="1"/>
  <c r="R126" i="1"/>
  <c r="R688" i="1"/>
  <c r="R843" i="1"/>
  <c r="R585" i="1"/>
  <c r="R931" i="1"/>
  <c r="R82" i="1"/>
  <c r="R713" i="1"/>
  <c r="R704" i="1"/>
  <c r="R42" i="1"/>
  <c r="R914" i="1"/>
  <c r="R747" i="1"/>
  <c r="R744" i="1"/>
  <c r="R431" i="1"/>
  <c r="R758" i="1"/>
  <c r="R882" i="1"/>
  <c r="R928" i="1"/>
  <c r="R913" i="1"/>
  <c r="R985" i="1"/>
  <c r="R329" i="1"/>
  <c r="R8" i="1"/>
  <c r="R558" i="1"/>
  <c r="R750" i="1"/>
  <c r="R769" i="1"/>
  <c r="R33" i="1"/>
  <c r="R612" i="1"/>
  <c r="R820" i="1"/>
  <c r="R247" i="1"/>
  <c r="R667" i="1"/>
  <c r="R836" i="1"/>
  <c r="R308" i="1"/>
  <c r="R584" i="1"/>
  <c r="R991" i="1"/>
  <c r="R896" i="1"/>
  <c r="R796" i="1"/>
  <c r="R333" i="1"/>
  <c r="R640" i="1"/>
  <c r="R41" i="1"/>
  <c r="R686" i="1"/>
  <c r="R306" i="1"/>
  <c r="R980" i="1"/>
  <c r="R906" i="1"/>
  <c r="R466" i="1"/>
  <c r="R812" i="1"/>
  <c r="R506" i="1"/>
  <c r="R71" i="1"/>
  <c r="R798" i="1"/>
  <c r="R899" i="1"/>
  <c r="R581" i="1"/>
  <c r="S581" i="1" s="1"/>
  <c r="T581" i="1" s="1"/>
  <c r="R393" i="1"/>
  <c r="R127" i="1"/>
  <c r="R406" i="1"/>
  <c r="R169" i="1"/>
  <c r="R710" i="1"/>
  <c r="R603" i="1"/>
  <c r="R946" i="1"/>
  <c r="R601" i="1"/>
  <c r="R255" i="1"/>
  <c r="R104" i="1"/>
  <c r="R696" i="1"/>
  <c r="R695" i="1"/>
  <c r="R482" i="1"/>
  <c r="R417" i="1"/>
  <c r="R240" i="1"/>
  <c r="R493" i="1"/>
  <c r="R516" i="1"/>
  <c r="R923" i="1"/>
  <c r="R869" i="1"/>
  <c r="R64" i="1"/>
  <c r="R184" i="1"/>
  <c r="R513" i="1"/>
  <c r="R279" i="1"/>
  <c r="R755" i="1"/>
  <c r="R762" i="1"/>
  <c r="R814" i="1"/>
  <c r="R878" i="1"/>
  <c r="R78" i="1"/>
  <c r="R925" i="1"/>
  <c r="R156" i="1"/>
  <c r="R966" i="1"/>
  <c r="R592" i="1"/>
  <c r="S592" i="1" s="1"/>
  <c r="T592" i="1" s="1"/>
  <c r="R326" i="1"/>
  <c r="R652" i="1"/>
  <c r="R936" i="1"/>
  <c r="R113" i="1"/>
  <c r="R829" i="1"/>
  <c r="R776" i="1"/>
  <c r="R191" i="1"/>
  <c r="R354" i="1"/>
  <c r="R597" i="1"/>
  <c r="R671" i="1"/>
  <c r="R664" i="1"/>
  <c r="R739" i="1"/>
  <c r="R202" i="1"/>
  <c r="R269" i="1"/>
  <c r="R789" i="1"/>
  <c r="R523" i="1"/>
  <c r="R542" i="1"/>
  <c r="R725" i="1"/>
  <c r="R152" i="1"/>
  <c r="R69" i="1"/>
  <c r="R122" i="1"/>
  <c r="R9" i="1"/>
  <c r="R423" i="1"/>
  <c r="R908" i="1"/>
  <c r="R404" i="1"/>
  <c r="R400" i="1"/>
  <c r="R299" i="1"/>
  <c r="R223" i="1"/>
  <c r="R847" i="1"/>
  <c r="R312" i="1"/>
  <c r="R779" i="1"/>
  <c r="R833" i="1"/>
  <c r="R753" i="1"/>
  <c r="R309" i="1"/>
  <c r="R763" i="1"/>
  <c r="R228" i="1"/>
  <c r="R588" i="1"/>
  <c r="R578" i="1"/>
  <c r="R480" i="1"/>
  <c r="R157" i="1"/>
  <c r="S157" i="1" s="1"/>
  <c r="T157" i="1" s="1"/>
  <c r="R781" i="1"/>
  <c r="R495" i="1"/>
  <c r="R388" i="1"/>
  <c r="R958" i="1"/>
  <c r="R432" i="1"/>
  <c r="S432" i="1" s="1"/>
  <c r="T432" i="1" s="1"/>
  <c r="R284" i="1"/>
  <c r="R714" i="1"/>
  <c r="S714" i="1" s="1"/>
  <c r="T714" i="1" s="1"/>
  <c r="R990" i="1"/>
  <c r="R307" i="1"/>
  <c r="R940" i="1"/>
  <c r="R866" i="1"/>
  <c r="R782" i="1"/>
  <c r="R626" i="1"/>
  <c r="R715" i="1"/>
  <c r="R469" i="1"/>
  <c r="R505" i="1"/>
  <c r="R10" i="1"/>
  <c r="R682" i="1"/>
  <c r="R964" i="1"/>
  <c r="R666" i="1"/>
  <c r="R575" i="1"/>
  <c r="R100" i="1"/>
  <c r="R728" i="1"/>
  <c r="R645" i="1"/>
  <c r="R352" i="1"/>
  <c r="R609" i="1"/>
  <c r="R302" i="1"/>
  <c r="R656" i="1"/>
  <c r="R193" i="1"/>
  <c r="R497" i="1"/>
  <c r="R607" i="1"/>
  <c r="R447" i="1"/>
  <c r="R591" i="1"/>
  <c r="R864" i="1"/>
  <c r="R877" i="1"/>
  <c r="R293" i="1"/>
  <c r="R708" i="1"/>
  <c r="R429" i="1"/>
  <c r="R795" i="1"/>
  <c r="R548" i="1"/>
  <c r="R263" i="1"/>
  <c r="R430" i="1"/>
  <c r="R613" i="1"/>
  <c r="R496" i="1"/>
  <c r="S496" i="1" s="1"/>
  <c r="T496" i="1" s="1"/>
  <c r="R527" i="1"/>
  <c r="R252" i="1"/>
  <c r="R76" i="1"/>
  <c r="R777" i="1"/>
  <c r="S777" i="1" s="1"/>
  <c r="T777" i="1" s="1"/>
  <c r="R915" i="1"/>
  <c r="R573" i="1"/>
  <c r="R36" i="1"/>
  <c r="R39" i="1"/>
  <c r="R261" i="1"/>
  <c r="R894" i="1"/>
  <c r="R14" i="1"/>
  <c r="R454" i="1"/>
  <c r="S454" i="1" s="1"/>
  <c r="T454" i="1" s="1"/>
  <c r="R5" i="1"/>
  <c r="R488" i="1"/>
  <c r="R88" i="1"/>
  <c r="R26" i="1"/>
  <c r="R387" i="1"/>
  <c r="R453" i="1"/>
  <c r="R961" i="1"/>
  <c r="R903" i="1"/>
  <c r="R277" i="1"/>
  <c r="R20" i="1"/>
  <c r="R443" i="1"/>
  <c r="R119" i="1"/>
  <c r="R138" i="1"/>
  <c r="R165" i="1"/>
  <c r="R823" i="1"/>
  <c r="R286" i="1"/>
  <c r="R919" i="1"/>
  <c r="R617" i="1"/>
  <c r="R153" i="1"/>
  <c r="R553" i="1"/>
  <c r="S553" i="1" s="1"/>
  <c r="T553" i="1" s="1"/>
  <c r="R265" i="1"/>
  <c r="R951" i="1"/>
  <c r="R368" i="1"/>
  <c r="R17" i="1"/>
  <c r="R13" i="1"/>
  <c r="R594" i="1"/>
  <c r="R681" i="1"/>
  <c r="R24" i="1"/>
  <c r="R106" i="1"/>
  <c r="R552" i="1"/>
  <c r="R362" i="1"/>
  <c r="S362" i="1" s="1"/>
  <c r="T362" i="1" s="1"/>
  <c r="R691" i="1"/>
  <c r="R801" i="1"/>
  <c r="R973" i="1"/>
  <c r="R295" i="1"/>
  <c r="R173" i="1"/>
  <c r="R917" i="1"/>
  <c r="R19" i="1"/>
  <c r="R232" i="1"/>
  <c r="R266" i="1"/>
  <c r="R524" i="1"/>
  <c r="R982" i="1"/>
  <c r="R794" i="1"/>
  <c r="R418" i="1"/>
  <c r="S418" i="1" s="1"/>
  <c r="T418" i="1" s="1"/>
  <c r="R130" i="1"/>
  <c r="R413" i="1"/>
  <c r="R950" i="1"/>
  <c r="R185" i="1"/>
  <c r="R77" i="1"/>
  <c r="R616" i="1"/>
  <c r="R905" i="1"/>
  <c r="R996" i="1"/>
  <c r="R32" i="1"/>
  <c r="R99" i="1"/>
  <c r="R735" i="1"/>
  <c r="R679" i="1"/>
  <c r="R614" i="1"/>
  <c r="R889" i="1"/>
  <c r="R283" i="1"/>
  <c r="R534" i="1"/>
  <c r="R323" i="1"/>
  <c r="R340" i="1"/>
  <c r="R180" i="1"/>
  <c r="R297" i="1"/>
  <c r="R236" i="1"/>
  <c r="R448" i="1"/>
  <c r="R813" i="1"/>
  <c r="S813" i="1" s="1"/>
  <c r="T813" i="1" s="1"/>
  <c r="R121" i="1"/>
  <c r="R242" i="1"/>
  <c r="R841" i="1"/>
  <c r="S841" i="1" s="1"/>
  <c r="T841" i="1" s="1"/>
  <c r="R852" i="1"/>
  <c r="R835" i="1"/>
  <c r="R706" i="1"/>
  <c r="R937" i="1"/>
  <c r="R868" i="1"/>
  <c r="R890" i="1"/>
  <c r="R732" i="1"/>
  <c r="R174" i="1"/>
  <c r="R245" i="1"/>
  <c r="R57" i="1"/>
  <c r="R615" i="1"/>
  <c r="S615" i="1" s="1"/>
  <c r="T615" i="1" s="1"/>
  <c r="R253" i="1"/>
  <c r="R938" i="1"/>
  <c r="R416" i="1"/>
  <c r="R315" i="1"/>
  <c r="R477" i="1"/>
  <c r="R181" i="1"/>
  <c r="S181" i="1" s="1"/>
  <c r="T181" i="1" s="1"/>
  <c r="R131" i="1"/>
  <c r="R270" i="1"/>
  <c r="R981" i="1"/>
  <c r="R296" i="1"/>
  <c r="R289" i="1"/>
  <c r="R537" i="1"/>
  <c r="R993" i="1"/>
  <c r="R468" i="1"/>
  <c r="R492" i="1"/>
  <c r="R586" i="1"/>
  <c r="R510" i="1"/>
  <c r="R787" i="1"/>
  <c r="R168" i="1"/>
  <c r="R211" i="1"/>
  <c r="R134" i="1"/>
  <c r="R740" i="1"/>
  <c r="R334" i="1"/>
  <c r="R554" i="1"/>
  <c r="R856" i="1"/>
  <c r="R103" i="1"/>
  <c r="R623" i="1"/>
  <c r="R570" i="1"/>
  <c r="R910" i="1"/>
  <c r="R360" i="1"/>
  <c r="R926" i="1"/>
  <c r="R702" i="1"/>
  <c r="R564" i="1"/>
  <c r="R633" i="1"/>
  <c r="R176" i="1"/>
  <c r="R892" i="1"/>
  <c r="R921" i="1"/>
  <c r="R79" i="1"/>
  <c r="R872" i="1"/>
  <c r="R687" i="1"/>
  <c r="R954" i="1"/>
  <c r="R313" i="1"/>
  <c r="R772" i="1"/>
  <c r="S772" i="1" s="1"/>
  <c r="T772" i="1" s="1"/>
  <c r="R239" i="1"/>
  <c r="R455" i="1"/>
  <c r="R421" i="1"/>
  <c r="R952" i="1"/>
  <c r="R783" i="1"/>
  <c r="R11" i="1"/>
  <c r="S11" i="1" s="1"/>
  <c r="T11" i="1" s="1"/>
  <c r="R48" i="1"/>
  <c r="R356" i="1"/>
  <c r="R880" i="1"/>
  <c r="R818" i="1"/>
  <c r="R444" i="1"/>
  <c r="R35" i="1"/>
  <c r="R967" i="1"/>
  <c r="R385" i="1"/>
  <c r="R897" i="1"/>
  <c r="S897" i="1" s="1"/>
  <c r="T897" i="1" s="1"/>
  <c r="R23" i="1"/>
  <c r="R446" i="1"/>
  <c r="R935" i="1"/>
  <c r="R192" i="1"/>
  <c r="S192" i="1" s="1"/>
  <c r="T192" i="1" s="1"/>
  <c r="R773" i="1"/>
  <c r="R605" i="1"/>
  <c r="R855" i="1"/>
  <c r="R425" i="1"/>
  <c r="R166" i="1"/>
  <c r="S166" i="1" s="1"/>
  <c r="T166" i="1" s="1"/>
  <c r="R249" i="1"/>
  <c r="R237" i="1"/>
  <c r="R95" i="1"/>
  <c r="R267" i="1"/>
  <c r="R624" i="1"/>
  <c r="R582" i="1"/>
  <c r="R579" i="1"/>
  <c r="R987" i="1"/>
  <c r="S987" i="1" s="1"/>
  <c r="T987" i="1" s="1"/>
  <c r="R941" i="1"/>
  <c r="R810" i="1"/>
  <c r="R528" i="1"/>
  <c r="R862" i="1"/>
  <c r="R68" i="1"/>
  <c r="R40" i="1"/>
  <c r="R353" i="1"/>
  <c r="S353" i="1" s="1"/>
  <c r="T353" i="1" s="1"/>
  <c r="R234" i="1"/>
  <c r="R780" i="1"/>
  <c r="R345" i="1"/>
  <c r="R419" i="1"/>
  <c r="R12" i="1"/>
  <c r="R256" i="1"/>
  <c r="S256" i="1" s="1"/>
  <c r="T256" i="1" s="1"/>
  <c r="R305" i="1"/>
  <c r="R420" i="1"/>
  <c r="R693" i="1"/>
  <c r="R746" i="1"/>
  <c r="R377" i="1"/>
  <c r="R133" i="1"/>
  <c r="R994" i="1"/>
  <c r="S994" i="1" s="1"/>
  <c r="T994" i="1" s="1"/>
  <c r="R756" i="1"/>
  <c r="R831" i="1"/>
  <c r="R641" i="1"/>
  <c r="R930" i="1"/>
  <c r="R346" i="1"/>
  <c r="S346" i="1" s="1"/>
  <c r="T346" i="1" s="1"/>
  <c r="R81" i="1"/>
  <c r="S81" i="1" s="1"/>
  <c r="T81" i="1" s="1"/>
  <c r="R643" i="1"/>
  <c r="R556" i="1"/>
  <c r="S556" i="1" s="1"/>
  <c r="T556" i="1" s="1"/>
  <c r="R244" i="1"/>
  <c r="R450" i="1"/>
  <c r="R924" i="1"/>
  <c r="R47" i="1"/>
  <c r="R600" i="1"/>
  <c r="R531" i="1"/>
  <c r="R971" i="1"/>
  <c r="R742" i="1"/>
  <c r="R246" i="1"/>
  <c r="R927" i="1"/>
  <c r="R826" i="1"/>
  <c r="R722" i="1"/>
  <c r="R651" i="1"/>
  <c r="R52" i="1"/>
  <c r="R694" i="1"/>
  <c r="R50" i="1"/>
  <c r="R440" i="1"/>
  <c r="R850" i="1"/>
  <c r="R934" i="1"/>
  <c r="R379" i="1"/>
  <c r="R660" i="1"/>
  <c r="R343" i="1"/>
  <c r="R347" i="1"/>
  <c r="R278" i="1"/>
  <c r="S278" i="1" s="1"/>
  <c r="T278" i="1" s="1"/>
  <c r="R222" i="1"/>
  <c r="S222" i="1" s="1"/>
  <c r="T222" i="1" s="1"/>
  <c r="R120" i="1"/>
  <c r="R502" i="1"/>
  <c r="R508" i="1"/>
  <c r="R479" i="1"/>
  <c r="R771" i="1"/>
  <c r="R881" i="1"/>
  <c r="R807" i="1"/>
  <c r="S807" i="1" s="1"/>
  <c r="T807" i="1" s="1"/>
  <c r="R576" i="1"/>
  <c r="R805" i="1"/>
  <c r="R960" i="1"/>
  <c r="R331" i="1"/>
  <c r="R898" i="1"/>
  <c r="R832" i="1"/>
  <c r="R650" i="1"/>
  <c r="R834" i="1"/>
  <c r="S834" i="1" s="1"/>
  <c r="T834" i="1" s="1"/>
  <c r="R853" i="1"/>
  <c r="R754" i="1"/>
  <c r="S754" i="1" s="1"/>
  <c r="T754" i="1" s="1"/>
  <c r="R97" i="1"/>
  <c r="R125" i="1"/>
  <c r="S125" i="1" s="1"/>
  <c r="T125" i="1" s="1"/>
  <c r="R673" i="1"/>
  <c r="R341" i="1"/>
  <c r="S341" i="1" s="1"/>
  <c r="T341" i="1" s="1"/>
  <c r="R205" i="1"/>
  <c r="R282" i="1"/>
  <c r="R920" i="1"/>
  <c r="S920" i="1" s="1"/>
  <c r="T920" i="1" s="1"/>
  <c r="R632" i="1"/>
  <c r="R112" i="1"/>
  <c r="R804" i="1"/>
  <c r="R854" i="1"/>
  <c r="R27" i="1"/>
  <c r="R498" i="1"/>
  <c r="S498" i="1" s="1"/>
  <c r="T498" i="1" s="1"/>
  <c r="R677" i="1"/>
  <c r="R648" i="1"/>
  <c r="R560" i="1"/>
  <c r="R311" i="1"/>
  <c r="R791" i="1"/>
  <c r="S791" i="1" s="1"/>
  <c r="T791" i="1" s="1"/>
  <c r="R462" i="1"/>
  <c r="R618" i="1"/>
  <c r="R276" i="1"/>
  <c r="S276" i="1" s="1"/>
  <c r="T276" i="1" s="1"/>
  <c r="R589" i="1"/>
  <c r="R912" i="1"/>
  <c r="R549" i="1"/>
  <c r="R644" i="1"/>
  <c r="R676" i="1"/>
  <c r="S676" i="1" s="1"/>
  <c r="T676" i="1" s="1"/>
  <c r="R770" i="1"/>
  <c r="R407" i="1"/>
  <c r="R124" i="1"/>
  <c r="R460" i="1"/>
  <c r="R683" i="1"/>
  <c r="R775" i="1"/>
  <c r="R658" i="1"/>
  <c r="R543" i="1"/>
  <c r="S543" i="1" s="1"/>
  <c r="T543" i="1" s="1"/>
  <c r="R111" i="1"/>
  <c r="R364" i="1"/>
  <c r="R441" i="1"/>
  <c r="R669" i="1"/>
  <c r="R837" i="1"/>
  <c r="R394" i="1"/>
  <c r="S394" i="1" s="1"/>
  <c r="T394" i="1" s="1"/>
  <c r="R18" i="1"/>
  <c r="R107" i="1"/>
  <c r="R271" i="1"/>
  <c r="S271" i="1" s="1"/>
  <c r="T271" i="1" s="1"/>
  <c r="R883" i="1"/>
  <c r="S883" i="1" s="1"/>
  <c r="T883" i="1" s="1"/>
  <c r="R963" i="1"/>
  <c r="R670" i="1"/>
  <c r="S670" i="1" s="1"/>
  <c r="T670" i="1" s="1"/>
  <c r="R748" i="1"/>
  <c r="R217" i="1"/>
  <c r="R730" i="1"/>
  <c r="R659" i="1"/>
  <c r="R972" i="1"/>
  <c r="R143" i="1"/>
  <c r="R675" i="1"/>
  <c r="R105" i="1"/>
  <c r="S105" i="1" s="1"/>
  <c r="T105" i="1" s="1"/>
  <c r="R201" i="1"/>
  <c r="R395" i="1"/>
  <c r="S395" i="1" s="1"/>
  <c r="T395" i="1" s="1"/>
  <c r="R380" i="1"/>
  <c r="R474" i="1"/>
  <c r="R182" i="1"/>
  <c r="S182" i="1" s="1"/>
  <c r="T182" i="1" s="1"/>
  <c r="R164" i="1"/>
  <c r="R94" i="1"/>
  <c r="R473" i="1"/>
  <c r="S473" i="1" s="1"/>
  <c r="T473" i="1" s="1"/>
  <c r="R988" i="1"/>
  <c r="R264" i="1"/>
  <c r="S264" i="1" s="1"/>
  <c r="T264" i="1" s="1"/>
  <c r="R821" i="1"/>
  <c r="R355" i="1"/>
  <c r="R241" i="1"/>
  <c r="R203" i="1"/>
  <c r="R797" i="1"/>
  <c r="S797" i="1" s="1"/>
  <c r="T797" i="1" s="1"/>
  <c r="R83" i="1"/>
  <c r="S83" i="1" s="1"/>
  <c r="T83" i="1" s="1"/>
  <c r="R680" i="1"/>
  <c r="R500" i="1"/>
  <c r="R778" i="1"/>
  <c r="R357" i="1"/>
  <c r="S357" i="1" s="1"/>
  <c r="T357" i="1" s="1"/>
  <c r="R639" i="1"/>
  <c r="R43" i="1"/>
  <c r="S43" i="1" s="1"/>
  <c r="T43" i="1" s="1"/>
  <c r="R25" i="1"/>
  <c r="R428" i="1"/>
  <c r="R84" i="1"/>
  <c r="R489" i="1"/>
  <c r="S489" i="1" s="1"/>
  <c r="T489" i="1" s="1"/>
  <c r="R529" i="1"/>
  <c r="R467" i="1"/>
  <c r="S467" i="1" s="1"/>
  <c r="T467" i="1" s="1"/>
  <c r="R918" i="1"/>
  <c r="R318" i="1"/>
  <c r="R405" i="1"/>
  <c r="R464" i="1"/>
  <c r="R790" i="1"/>
  <c r="R7" i="1"/>
  <c r="R336" i="1"/>
  <c r="R620" i="1"/>
  <c r="S620" i="1" s="1"/>
  <c r="T620" i="1" s="1"/>
  <c r="R842" i="1"/>
  <c r="R445" i="1"/>
  <c r="R292" i="1"/>
  <c r="R642" i="1"/>
  <c r="R58" i="1"/>
  <c r="R808" i="1"/>
  <c r="R3" i="1"/>
  <c r="R371" i="1"/>
  <c r="R902" i="1"/>
  <c r="R544" i="1"/>
  <c r="R442" i="1"/>
  <c r="S442" i="1" s="1"/>
  <c r="T442" i="1" s="1"/>
  <c r="R258" i="1"/>
  <c r="S258" i="1" s="1"/>
  <c r="T258" i="1" s="1"/>
  <c r="R382" i="1"/>
  <c r="R301" i="1"/>
  <c r="R565" i="1"/>
  <c r="R525" i="1"/>
  <c r="S525" i="1" s="1"/>
  <c r="T525" i="1" s="1"/>
  <c r="R718" i="1"/>
  <c r="R320" i="1"/>
  <c r="R563" i="1"/>
  <c r="R690" i="1"/>
  <c r="S690" i="1" s="1"/>
  <c r="T690" i="1" s="1"/>
  <c r="R123" i="1"/>
  <c r="R848" i="1"/>
  <c r="R386" i="1"/>
  <c r="R403" i="1"/>
  <c r="R251" i="1"/>
  <c r="R327" i="1"/>
  <c r="S327" i="1" s="1"/>
  <c r="T327" i="1" s="1"/>
  <c r="R137" i="1"/>
  <c r="R947" i="1"/>
  <c r="R230" i="1"/>
  <c r="R904" i="1"/>
  <c r="R774" i="1"/>
  <c r="R148" i="1"/>
  <c r="R139" i="1"/>
  <c r="S139" i="1" s="1"/>
  <c r="T139" i="1" s="1"/>
  <c r="R628" i="1"/>
  <c r="S628" i="1" s="1"/>
  <c r="T628" i="1" s="1"/>
  <c r="R562" i="1"/>
  <c r="R171" i="1"/>
  <c r="R865" i="1"/>
  <c r="R768" i="1"/>
  <c r="R314" i="1"/>
  <c r="S314" i="1" s="1"/>
  <c r="T314" i="1" s="1"/>
  <c r="R757" i="1"/>
  <c r="S757" i="1" s="1"/>
  <c r="T757" i="1" s="1"/>
  <c r="R766" i="1"/>
  <c r="R955" i="1"/>
  <c r="S955" i="1" s="1"/>
  <c r="T955" i="1" s="1"/>
  <c r="R636" i="1"/>
  <c r="R699" i="1"/>
  <c r="R484" i="1"/>
  <c r="S484" i="1" s="1"/>
  <c r="T484" i="1" s="1"/>
  <c r="R158" i="1"/>
  <c r="R995" i="1"/>
  <c r="R86" i="1"/>
  <c r="S86" i="1" s="1"/>
  <c r="T86" i="1" s="1"/>
  <c r="R397" i="1"/>
  <c r="R146" i="1"/>
  <c r="R929" i="1"/>
  <c r="R411" i="1"/>
  <c r="S411" i="1" s="1"/>
  <c r="T411" i="1" s="1"/>
  <c r="R738" i="1"/>
  <c r="R129" i="1"/>
  <c r="R291" i="1"/>
  <c r="R381" i="1"/>
  <c r="R953" i="1"/>
  <c r="R85" i="1"/>
  <c r="S85" i="1" s="1"/>
  <c r="T85" i="1" s="1"/>
  <c r="R827" i="1"/>
  <c r="R330" i="1"/>
  <c r="R294" i="1"/>
  <c r="R398" i="1"/>
  <c r="R374" i="1"/>
  <c r="R514" i="1"/>
  <c r="S514" i="1" s="1"/>
  <c r="T514" i="1" s="1"/>
  <c r="R427" i="1"/>
  <c r="R248" i="1"/>
  <c r="R621" i="1"/>
  <c r="R98" i="1"/>
  <c r="R102" i="1"/>
  <c r="R67" i="1"/>
  <c r="R235" i="1"/>
  <c r="R51" i="1"/>
  <c r="S51" i="1" s="1"/>
  <c r="T51" i="1" s="1"/>
  <c r="R637" i="1"/>
  <c r="R646" i="1"/>
  <c r="R390" i="1"/>
  <c r="R225" i="1"/>
  <c r="S225" i="1" s="1"/>
  <c r="T225" i="1" s="1"/>
  <c r="R965" i="1"/>
  <c r="R598" i="1"/>
  <c r="R557" i="1"/>
  <c r="R535" i="1"/>
  <c r="S535" i="1" s="1"/>
  <c r="T535" i="1" s="1"/>
  <c r="R968" i="1"/>
  <c r="S968" i="1" s="1"/>
  <c r="T968" i="1" s="1"/>
  <c r="R662" i="1"/>
  <c r="R1000" i="1"/>
  <c r="R861" i="1"/>
  <c r="R63" i="1"/>
  <c r="R999" i="1"/>
  <c r="R647" i="1"/>
  <c r="R727" i="1"/>
  <c r="S727" i="1" s="1"/>
  <c r="T727" i="1" s="1"/>
  <c r="R887" i="1"/>
  <c r="R392" i="1"/>
  <c r="R408" i="1"/>
  <c r="R132" i="1"/>
  <c r="S132" i="1" s="1"/>
  <c r="T132" i="1" s="1"/>
  <c r="R593" i="1"/>
  <c r="R515" i="1"/>
  <c r="R272" i="1"/>
  <c r="R891" i="1"/>
  <c r="R61" i="1"/>
  <c r="R114" i="1"/>
  <c r="R207" i="1"/>
  <c r="R457" i="1"/>
  <c r="R724" i="1"/>
  <c r="R655" i="1"/>
  <c r="R845" i="1"/>
  <c r="R876" i="1"/>
  <c r="R135" i="1"/>
  <c r="S135" i="1" s="1"/>
  <c r="T135" i="1" s="1"/>
  <c r="R520" i="1"/>
  <c r="R536" i="1"/>
  <c r="R860" i="1"/>
  <c r="R396" i="1"/>
  <c r="R49" i="1"/>
  <c r="R672" i="1"/>
  <c r="R569" i="1"/>
  <c r="R857" i="1"/>
  <c r="R215" i="1"/>
  <c r="R539" i="1"/>
  <c r="R519" i="1"/>
  <c r="R197" i="1"/>
  <c r="R825" i="1"/>
  <c r="R38" i="1"/>
  <c r="R499" i="1"/>
  <c r="S499" i="1" s="1"/>
  <c r="T499" i="1" s="1"/>
  <c r="R383" i="1"/>
  <c r="R703" i="1"/>
  <c r="S703" i="1" s="1"/>
  <c r="T703" i="1" s="1"/>
  <c r="R209" i="1"/>
  <c r="R415" i="1"/>
  <c r="R365" i="1"/>
  <c r="R363" i="1"/>
  <c r="R55" i="1"/>
  <c r="R944" i="1"/>
  <c r="R170" i="1"/>
  <c r="R761" i="1"/>
  <c r="R939" i="1"/>
  <c r="R231" i="1"/>
  <c r="S231" i="1" s="1"/>
  <c r="T231" i="1" s="1"/>
  <c r="R839" i="1"/>
  <c r="R726" i="1"/>
  <c r="S726" i="1" s="1"/>
  <c r="T726" i="1" s="1"/>
  <c r="R116" i="1"/>
  <c r="R6" i="1"/>
  <c r="S6" i="1" s="1"/>
  <c r="T6" i="1" s="1"/>
  <c r="R359" i="1"/>
  <c r="R189" i="1"/>
  <c r="R711" i="1"/>
  <c r="R822" i="1"/>
  <c r="R663" i="1"/>
  <c r="R559" i="1"/>
  <c r="R358" i="1"/>
  <c r="R568" i="1"/>
  <c r="R668" i="1"/>
  <c r="R452" i="1"/>
  <c r="R745" i="1"/>
  <c r="R743" i="1"/>
  <c r="S743" i="1" s="1"/>
  <c r="T743" i="1" s="1"/>
  <c r="R60" i="1"/>
  <c r="R214" i="1"/>
  <c r="R969" i="1"/>
  <c r="R871" i="1"/>
  <c r="S871" i="1" s="1"/>
  <c r="T871" i="1" s="1"/>
  <c r="R809" i="1"/>
  <c r="R793" i="1"/>
  <c r="R144" i="1"/>
  <c r="S144" i="1" s="1"/>
  <c r="T144" i="1" s="1"/>
  <c r="R332" i="1"/>
  <c r="R65" i="1"/>
  <c r="R178" i="1"/>
  <c r="R401" i="1"/>
  <c r="R456" i="1"/>
  <c r="S456" i="1" s="1"/>
  <c r="T456" i="1" s="1"/>
  <c r="R733" i="1"/>
  <c r="S733" i="1" s="1"/>
  <c r="T733" i="1" s="1"/>
  <c r="R638" i="1"/>
  <c r="R709" i="1"/>
  <c r="R463" i="1"/>
  <c r="R817" i="1"/>
  <c r="S817" i="1" s="1"/>
  <c r="T817" i="1" s="1"/>
  <c r="R692" i="1"/>
  <c r="R583" i="1"/>
  <c r="R957" i="1"/>
  <c r="R599" i="1"/>
  <c r="R216" i="1"/>
  <c r="S216" i="1" s="1"/>
  <c r="T216" i="1" s="1"/>
  <c r="R213" i="1"/>
  <c r="R151" i="1"/>
  <c r="S151" i="1" s="1"/>
  <c r="T151" i="1" s="1"/>
  <c r="R410" i="1"/>
  <c r="R566" i="1"/>
  <c r="R932" i="1"/>
  <c r="R979" i="1"/>
  <c r="S979" i="1" s="1"/>
  <c r="T979" i="1" s="1"/>
  <c r="R785" i="1"/>
  <c r="R378" i="1"/>
  <c r="S378" i="1" s="1"/>
  <c r="T378" i="1" s="1"/>
  <c r="R290" i="1"/>
  <c r="R976" i="1"/>
  <c r="R719" i="1"/>
  <c r="R163" i="1"/>
  <c r="S163" i="1" s="1"/>
  <c r="T163" i="1" s="1"/>
  <c r="R190" i="1"/>
  <c r="R678" i="1"/>
  <c r="R803" i="1"/>
  <c r="R367" i="1"/>
  <c r="R786" i="1"/>
  <c r="R661" i="1"/>
  <c r="R723" i="1"/>
  <c r="R619" i="1"/>
  <c r="R128" i="1"/>
  <c r="R194" i="1"/>
  <c r="R412" i="1"/>
  <c r="R765" i="1"/>
  <c r="S765" i="1" s="1"/>
  <c r="T765" i="1" s="1"/>
  <c r="R250" i="1"/>
  <c r="R517" i="1"/>
  <c r="S517" i="1" s="1"/>
  <c r="T517" i="1" s="1"/>
  <c r="R37" i="1"/>
  <c r="R212" i="1"/>
  <c r="R316" i="1"/>
  <c r="R494" i="1"/>
  <c r="R449" i="1"/>
  <c r="R75" i="1"/>
  <c r="S75" i="1" s="1"/>
  <c r="T75" i="1" s="1"/>
  <c r="R319" i="1"/>
  <c r="R73" i="1"/>
  <c r="R587" i="1"/>
  <c r="R685" i="1"/>
  <c r="R501" i="1"/>
  <c r="R634" i="1"/>
  <c r="R54" i="1"/>
  <c r="S54" i="1" s="1"/>
  <c r="T54" i="1" s="1"/>
  <c r="R550" i="1"/>
  <c r="S550" i="1" s="1"/>
  <c r="T550" i="1" s="1"/>
  <c r="R893" i="1"/>
  <c r="R863" i="1"/>
  <c r="R815" i="1"/>
  <c r="R731" i="1"/>
  <c r="R409" i="1"/>
  <c r="R916" i="1"/>
  <c r="S916" i="1" s="1"/>
  <c r="T916" i="1" s="1"/>
  <c r="R349" i="1"/>
  <c r="R974" i="1"/>
  <c r="S974" i="1" s="1"/>
  <c r="T974" i="1" s="1"/>
  <c r="R451" i="1"/>
  <c r="S451" i="1" s="1"/>
  <c r="T451" i="1" s="1"/>
  <c r="R873" i="1"/>
  <c r="S873" i="1" s="1"/>
  <c r="T873" i="1" s="1"/>
  <c r="R161" i="1"/>
  <c r="R140" i="1"/>
  <c r="R907" i="1"/>
  <c r="S907" i="1" s="1"/>
  <c r="T907" i="1" s="1"/>
  <c r="R886" i="1"/>
  <c r="R136" i="1"/>
  <c r="S136" i="1" s="1"/>
  <c r="T136" i="1" s="1"/>
  <c r="R870" i="1"/>
  <c r="R749" i="1"/>
  <c r="R716" i="1"/>
  <c r="S716" i="1" s="1"/>
  <c r="T716" i="1" s="1"/>
  <c r="R59" i="1"/>
  <c r="S59" i="1" s="1"/>
  <c r="T59" i="1" s="1"/>
  <c r="R224" i="1"/>
  <c r="R859" i="1"/>
  <c r="R389" i="1"/>
  <c r="R210" i="1"/>
  <c r="R206" i="1"/>
  <c r="R631" i="1"/>
  <c r="R759" i="1"/>
  <c r="R195" i="1"/>
  <c r="R625" i="1"/>
  <c r="S625" i="1" s="1"/>
  <c r="T625" i="1" s="1"/>
  <c r="R844" i="1"/>
  <c r="S844" i="1" s="1"/>
  <c r="T844" i="1" s="1"/>
  <c r="R376" i="1"/>
  <c r="R909" i="1"/>
  <c r="R977" i="1"/>
  <c r="R229" i="1"/>
  <c r="R533" i="1"/>
  <c r="R280" i="1"/>
  <c r="R56" i="1"/>
  <c r="R29" i="1"/>
  <c r="R384" i="1"/>
  <c r="R792" i="1"/>
  <c r="R629" i="1"/>
  <c r="S629" i="1" s="1"/>
  <c r="T629" i="1" s="1"/>
  <c r="R199" i="1"/>
  <c r="R830" i="1"/>
  <c r="R300" i="1"/>
  <c r="R92" i="1"/>
  <c r="S92" i="1" s="1"/>
  <c r="T92" i="1" s="1"/>
  <c r="R622" i="1"/>
  <c r="R752" i="1"/>
  <c r="R72" i="1"/>
  <c r="S72" i="1" s="1"/>
  <c r="T72" i="1" s="1"/>
  <c r="R434" i="1"/>
  <c r="S434" i="1" s="1"/>
  <c r="T434" i="1" s="1"/>
  <c r="R459" i="1"/>
  <c r="S459" i="1" s="1"/>
  <c r="T459" i="1" s="1"/>
  <c r="R657" i="1"/>
  <c r="R198" i="1"/>
  <c r="R824" i="1"/>
  <c r="S824" i="1" s="1"/>
  <c r="T824" i="1" s="1"/>
  <c r="R226" i="1"/>
  <c r="R503" i="1"/>
  <c r="R115" i="1"/>
  <c r="R437" i="1"/>
  <c r="R321" i="1"/>
  <c r="R984" i="1"/>
  <c r="R4" i="1"/>
  <c r="R93" i="1"/>
  <c r="S93" i="1" s="1"/>
  <c r="T93" i="1" s="1"/>
  <c r="R545" i="1"/>
  <c r="R369" i="1"/>
  <c r="R167" i="1"/>
  <c r="R611" i="1"/>
  <c r="R322" i="1"/>
  <c r="R31" i="1"/>
  <c r="R348" i="1"/>
  <c r="S348" i="1" s="1"/>
  <c r="T348" i="1" s="1"/>
  <c r="R721" i="1"/>
  <c r="R674" i="1"/>
  <c r="R172" i="1"/>
  <c r="S172" i="1" s="1"/>
  <c r="T172" i="1" s="1"/>
  <c r="R561" i="1"/>
  <c r="R218" i="1"/>
  <c r="R849" i="1"/>
  <c r="R101" i="1"/>
  <c r="R117" i="1"/>
  <c r="R108" i="1"/>
  <c r="R788" i="1"/>
  <c r="S788" i="1" s="1"/>
  <c r="T788" i="1" s="1"/>
  <c r="R698" i="1"/>
  <c r="S698" i="1" s="1"/>
  <c r="T698" i="1" s="1"/>
  <c r="R66" i="1"/>
  <c r="S66" i="1" s="1"/>
  <c r="T66" i="1" s="1"/>
  <c r="R96" i="1"/>
  <c r="R186" i="1"/>
  <c r="R720" i="1"/>
  <c r="S720" i="1" s="1"/>
  <c r="T720" i="1" s="1"/>
  <c r="R540" i="1"/>
  <c r="R89" i="1"/>
  <c r="R512" i="1"/>
  <c r="R344" i="1"/>
  <c r="S344" i="1" s="1"/>
  <c r="T344" i="1" s="1"/>
  <c r="R243" i="1"/>
  <c r="S243" i="1" s="1"/>
  <c r="T243" i="1" s="1"/>
  <c r="R507" i="1"/>
  <c r="R87" i="1"/>
  <c r="R874" i="1"/>
  <c r="R30" i="1"/>
  <c r="R635" i="1"/>
  <c r="R375" i="1"/>
  <c r="S375" i="1" s="1"/>
  <c r="T375" i="1" s="1"/>
  <c r="R28" i="1"/>
  <c r="S28" i="1" s="1"/>
  <c r="T28" i="1" s="1"/>
  <c r="R767" i="1"/>
  <c r="S767" i="1" s="1"/>
  <c r="T767" i="1" s="1"/>
  <c r="R630" i="1"/>
  <c r="S630" i="1" s="1"/>
  <c r="T630" i="1" s="1"/>
  <c r="R729" i="1"/>
  <c r="R697" i="1"/>
  <c r="R22" i="1"/>
  <c r="R175" i="1"/>
  <c r="R945" i="1"/>
  <c r="R435" i="1"/>
  <c r="R62" i="1"/>
  <c r="S62" i="1" s="1"/>
  <c r="T62" i="1" s="1"/>
  <c r="R285" i="1"/>
  <c r="S285" i="1" s="1"/>
  <c r="T285" i="1" s="1"/>
  <c r="R956" i="1"/>
  <c r="R846" i="1"/>
  <c r="R547" i="1"/>
  <c r="S547" i="1" s="1"/>
  <c r="T547" i="1" s="1"/>
  <c r="R298" i="1"/>
  <c r="R402" i="1"/>
  <c r="R366" i="1"/>
  <c r="S366" i="1" s="1"/>
  <c r="T366" i="1" s="1"/>
  <c r="R998" i="1"/>
  <c r="R522" i="1"/>
  <c r="R339" i="1"/>
  <c r="R287" i="1"/>
  <c r="S287" i="1" s="1"/>
  <c r="T287" i="1" s="1"/>
  <c r="R44" i="1"/>
  <c r="R142" i="1"/>
  <c r="R310" i="1"/>
  <c r="S310" i="1" s="1"/>
  <c r="T310" i="1" s="1"/>
  <c r="R943" i="1"/>
  <c r="R281" i="1"/>
  <c r="S281" i="1" s="1"/>
  <c r="T281" i="1" s="1"/>
  <c r="R875" i="1"/>
  <c r="R475" i="1"/>
  <c r="R901" i="1"/>
  <c r="S901" i="1" s="1"/>
  <c r="T901" i="1" s="1"/>
  <c r="R595" i="1"/>
  <c r="R470" i="1"/>
  <c r="S470" i="1" s="1"/>
  <c r="T470" i="1" s="1"/>
  <c r="R439" i="1"/>
  <c r="R734" i="1"/>
  <c r="R811" i="1"/>
  <c r="R900" i="1"/>
  <c r="S900" i="1" s="1"/>
  <c r="T900" i="1" s="1"/>
  <c r="R155" i="1"/>
  <c r="R717" i="1"/>
  <c r="R487" i="1"/>
  <c r="R324" i="1"/>
  <c r="R110" i="1"/>
  <c r="R851" i="1"/>
  <c r="S851" i="1" s="1"/>
  <c r="T851" i="1" s="1"/>
  <c r="R983" i="1"/>
  <c r="R838" i="1"/>
  <c r="S838" i="1" s="1"/>
  <c r="T838" i="1" s="1"/>
  <c r="R654" i="1"/>
  <c r="R328" i="1"/>
  <c r="S328" i="1" s="1"/>
  <c r="T328" i="1" s="1"/>
  <c r="R433" i="1"/>
  <c r="R665" i="1"/>
  <c r="R736" i="1"/>
  <c r="S736" i="1" s="1"/>
  <c r="T736" i="1" s="1"/>
  <c r="R145" i="1"/>
  <c r="R118" i="1"/>
  <c r="R204" i="1"/>
  <c r="S204" i="1" s="1"/>
  <c r="T204" i="1" s="1"/>
  <c r="R800" i="1"/>
  <c r="R949" i="1"/>
  <c r="R262" i="1"/>
  <c r="R530" i="1"/>
  <c r="R567" i="1"/>
  <c r="R933" i="1"/>
  <c r="R481" i="1"/>
  <c r="S481" i="1" s="1"/>
  <c r="T481" i="1" s="1"/>
  <c r="R879" i="1"/>
  <c r="R705" i="1"/>
  <c r="R948" i="1"/>
  <c r="S948" i="1" s="1"/>
  <c r="T948" i="1" s="1"/>
  <c r="R372" i="1"/>
  <c r="R509" i="1"/>
  <c r="R46" i="1"/>
  <c r="R511" i="1"/>
  <c r="S511" i="1" s="1"/>
  <c r="T511" i="1" s="1"/>
  <c r="R574" i="1"/>
  <c r="S574" i="1" s="1"/>
  <c r="T574" i="1" s="1"/>
  <c r="R653" i="1"/>
  <c r="R802" i="1"/>
  <c r="S802" i="1" s="1"/>
  <c r="T802" i="1" s="1"/>
  <c r="R208" i="1"/>
  <c r="R741" i="1"/>
  <c r="S741" i="1" s="1"/>
  <c r="T741" i="1" s="1"/>
  <c r="R351" i="1"/>
  <c r="R760" i="1"/>
  <c r="R684" i="1"/>
  <c r="S684" i="1" s="1"/>
  <c r="T684" i="1" s="1"/>
  <c r="R338" i="1"/>
  <c r="R179" i="1"/>
  <c r="S179" i="1" s="1"/>
  <c r="T179" i="1" s="1"/>
  <c r="R975" i="1"/>
  <c r="R220" i="1"/>
  <c r="R992" i="1"/>
  <c r="R70" i="1"/>
  <c r="R187" i="1"/>
  <c r="R335" i="1"/>
  <c r="S335" i="1" s="1"/>
  <c r="T335" i="1" s="1"/>
  <c r="R15" i="1"/>
  <c r="S15" i="1" s="1"/>
  <c r="T15" i="1" s="1"/>
  <c r="R989" i="1"/>
  <c r="S989" i="1" s="1"/>
  <c r="T989" i="1" s="1"/>
  <c r="R461" i="1"/>
  <c r="S461" i="1" s="1"/>
  <c r="T461" i="1" s="1"/>
  <c r="R819" i="1"/>
  <c r="S819" i="1" s="1"/>
  <c r="T819" i="1" s="1"/>
  <c r="R538" i="1"/>
  <c r="R526" i="1"/>
  <c r="R370" i="1"/>
  <c r="R541" i="1"/>
  <c r="S541" i="1" s="1"/>
  <c r="T541" i="1" s="1"/>
  <c r="R712" i="1"/>
  <c r="R486" i="1"/>
  <c r="R21" i="1"/>
  <c r="S21" i="1" s="1"/>
  <c r="T21" i="1" s="1"/>
  <c r="R707" i="1"/>
  <c r="S707" i="1" s="1"/>
  <c r="T707" i="1" s="1"/>
  <c r="R476" i="1"/>
  <c r="R701" i="1"/>
  <c r="R188" i="1"/>
  <c r="S188" i="1" s="1"/>
  <c r="T188" i="1" s="1"/>
  <c r="R962" i="1"/>
  <c r="R141" i="1"/>
  <c r="R288" i="1"/>
  <c r="R1001" i="1"/>
  <c r="S1001" i="1" s="1"/>
  <c r="T1001" i="1" s="1"/>
  <c r="R424" i="1"/>
  <c r="S424" i="1" s="1"/>
  <c r="T424" i="1" s="1"/>
  <c r="R572" i="1"/>
  <c r="R233" i="1"/>
  <c r="S233" i="1" s="1"/>
  <c r="T233" i="1" s="1"/>
  <c r="R45" i="1"/>
  <c r="S45" i="1" s="1"/>
  <c r="T45" i="1" s="1"/>
  <c r="R317" i="1"/>
  <c r="R610" i="1"/>
  <c r="S610" i="1" s="1"/>
  <c r="T610" i="1" s="1"/>
  <c r="R342" i="1"/>
  <c r="R491" i="1"/>
  <c r="R426" i="1"/>
  <c r="R160" i="1"/>
  <c r="R828" i="1"/>
  <c r="R590" i="1"/>
  <c r="R227" i="1"/>
  <c r="R551" i="1"/>
  <c r="R606" i="1"/>
  <c r="S606" i="1" s="1"/>
  <c r="T606" i="1" s="1"/>
  <c r="R465" i="1"/>
  <c r="S465" i="1" s="1"/>
  <c r="T465" i="1" s="1"/>
  <c r="R737" i="1"/>
  <c r="R90" i="1"/>
  <c r="R273" i="1"/>
  <c r="R751" i="1"/>
  <c r="S751" i="1" s="1"/>
  <c r="T751" i="1" s="1"/>
  <c r="R700" i="1"/>
  <c r="R478" i="1"/>
  <c r="S478" i="1" s="1"/>
  <c r="T478" i="1" s="1"/>
  <c r="R518" i="1"/>
  <c r="R350" i="1"/>
  <c r="R997" i="1"/>
  <c r="R438" i="1"/>
  <c r="R303" i="1"/>
  <c r="R414" i="1"/>
  <c r="S414" i="1" s="1"/>
  <c r="T414" i="1" s="1"/>
  <c r="R259" i="1"/>
  <c r="S259" i="1" s="1"/>
  <c r="T259" i="1" s="1"/>
  <c r="R532" i="1"/>
  <c r="S532" i="1" s="1"/>
  <c r="T532" i="1" s="1"/>
  <c r="R867" i="1"/>
  <c r="R784" i="1"/>
  <c r="R571" i="1"/>
  <c r="R154" i="1"/>
  <c r="R196" i="1"/>
  <c r="S196" i="1" s="1"/>
  <c r="T196" i="1" s="1"/>
  <c r="R183" i="1"/>
  <c r="R16" i="1"/>
  <c r="S16" i="1"/>
  <c r="T16" i="1" s="1"/>
  <c r="S922" i="1"/>
  <c r="T922" i="1" s="1"/>
  <c r="E8" i="6" l="1" a="1"/>
  <c r="E8" i="6" s="1"/>
  <c r="F8" i="6" s="1"/>
  <c r="C11" i="5"/>
  <c r="B12" i="5"/>
  <c r="N17" i="2"/>
  <c r="O17" i="2" s="1"/>
  <c r="P17" i="2" s="1"/>
  <c r="N10" i="2"/>
  <c r="O10" i="2" s="1"/>
  <c r="P10" i="2" s="1"/>
  <c r="N18" i="2"/>
  <c r="O18" i="2" s="1"/>
  <c r="P18" i="2" s="1"/>
  <c r="N3" i="2"/>
  <c r="O3" i="2" s="1"/>
  <c r="P3" i="2" s="1"/>
  <c r="N11" i="2"/>
  <c r="O11" i="2" s="1"/>
  <c r="P11" i="2" s="1"/>
  <c r="N19" i="2"/>
  <c r="O19" i="2" s="1"/>
  <c r="P19" i="2" s="1"/>
  <c r="N4" i="2"/>
  <c r="O4" i="2" s="1"/>
  <c r="P4" i="2" s="1"/>
  <c r="N12" i="2"/>
  <c r="O12" i="2" s="1"/>
  <c r="P12" i="2" s="1"/>
  <c r="N2" i="2"/>
  <c r="O2" i="2" s="1"/>
  <c r="P2" i="2" s="1"/>
  <c r="N7" i="2"/>
  <c r="O7" i="2" s="1"/>
  <c r="P7" i="2" s="1"/>
  <c r="N5" i="2"/>
  <c r="O5" i="2" s="1"/>
  <c r="P5" i="2" s="1"/>
  <c r="N13" i="2"/>
  <c r="O13" i="2" s="1"/>
  <c r="P13" i="2" s="1"/>
  <c r="N6" i="2"/>
  <c r="O6" i="2" s="1"/>
  <c r="P6" i="2" s="1"/>
  <c r="N14" i="2"/>
  <c r="O14" i="2" s="1"/>
  <c r="P14" i="2" s="1"/>
  <c r="N15" i="2"/>
  <c r="O15" i="2" s="1"/>
  <c r="P15" i="2" s="1"/>
  <c r="N8" i="2"/>
  <c r="O8" i="2" s="1"/>
  <c r="P8" i="2" s="1"/>
  <c r="N16" i="2"/>
  <c r="O16" i="2" s="1"/>
  <c r="P16" i="2" s="1"/>
  <c r="N9" i="2"/>
  <c r="O9" i="2" s="1"/>
  <c r="P9" i="2" s="1"/>
  <c r="S303" i="1"/>
  <c r="T303" i="1" s="1"/>
  <c r="S665" i="1"/>
  <c r="T665" i="1" s="1"/>
  <c r="S89" i="1"/>
  <c r="T89" i="1" s="1"/>
  <c r="S178" i="1"/>
  <c r="T178" i="1" s="1"/>
  <c r="S49" i="1"/>
  <c r="T49" i="1" s="1"/>
  <c r="S937" i="1"/>
  <c r="T937" i="1" s="1"/>
  <c r="S154" i="1"/>
  <c r="T154" i="1" s="1"/>
  <c r="S37" i="1"/>
  <c r="T37" i="1" s="1"/>
  <c r="S748" i="1"/>
  <c r="T748" i="1" s="1"/>
  <c r="S697" i="1"/>
  <c r="T697" i="1" s="1"/>
  <c r="S334" i="1"/>
  <c r="T334" i="1" s="1"/>
  <c r="S297" i="1"/>
  <c r="T297" i="1" s="1"/>
  <c r="S354" i="1"/>
  <c r="T354" i="1" s="1"/>
  <c r="S426" i="1"/>
  <c r="T426" i="1" s="1"/>
  <c r="S939" i="1"/>
  <c r="T939" i="1" s="1"/>
  <c r="S795" i="1"/>
  <c r="T795" i="1" s="1"/>
  <c r="S879" i="1"/>
  <c r="T879" i="1" s="1"/>
  <c r="S437" i="1"/>
  <c r="T437" i="1" s="1"/>
  <c r="S392" i="1"/>
  <c r="T392" i="1" s="1"/>
  <c r="S578" i="1"/>
  <c r="T578" i="1" s="1"/>
  <c r="S397" i="1"/>
  <c r="T397" i="1" s="1"/>
  <c r="S854" i="1"/>
  <c r="T854" i="1" s="1"/>
  <c r="S239" i="1"/>
  <c r="T239" i="1" s="1"/>
  <c r="S227" i="1"/>
  <c r="T227" i="1" s="1"/>
  <c r="S317" i="1"/>
  <c r="T317" i="1" s="1"/>
  <c r="S933" i="1"/>
  <c r="T933" i="1" s="1"/>
  <c r="S752" i="1"/>
  <c r="T752" i="1" s="1"/>
  <c r="S376" i="1"/>
  <c r="T376" i="1" s="1"/>
  <c r="S389" i="1"/>
  <c r="T389" i="1" s="1"/>
  <c r="S886" i="1"/>
  <c r="T886" i="1" s="1"/>
  <c r="S634" i="1"/>
  <c r="T634" i="1" s="1"/>
  <c r="S568" i="1"/>
  <c r="T568" i="1" s="1"/>
  <c r="S876" i="1"/>
  <c r="T876" i="1" s="1"/>
  <c r="S381" i="1"/>
  <c r="T381" i="1" s="1"/>
  <c r="S403" i="1"/>
  <c r="T403" i="1" s="1"/>
  <c r="S379" i="1"/>
  <c r="T379" i="1" s="1"/>
  <c r="S722" i="1"/>
  <c r="T722" i="1" s="1"/>
  <c r="S47" i="1"/>
  <c r="T47" i="1" s="1"/>
  <c r="S930" i="1"/>
  <c r="T930" i="1" s="1"/>
  <c r="S693" i="1"/>
  <c r="T693" i="1" s="1"/>
  <c r="S623" i="1"/>
  <c r="T623" i="1" s="1"/>
  <c r="S26" i="1"/>
  <c r="T26" i="1" s="1"/>
  <c r="S223" i="1"/>
  <c r="T223" i="1" s="1"/>
  <c r="S69" i="1"/>
  <c r="T69" i="1" s="1"/>
  <c r="S113" i="1"/>
  <c r="T113" i="1" s="1"/>
  <c r="S78" i="1"/>
  <c r="T78" i="1" s="1"/>
  <c r="S585" i="1"/>
  <c r="T585" i="1" s="1"/>
  <c r="S107" i="1"/>
  <c r="T107" i="1" s="1"/>
  <c r="S804" i="1"/>
  <c r="T804" i="1" s="1"/>
  <c r="S508" i="1"/>
  <c r="T508" i="1" s="1"/>
  <c r="S234" i="1"/>
  <c r="T234" i="1" s="1"/>
  <c r="S23" i="1"/>
  <c r="T23" i="1" s="1"/>
  <c r="S168" i="1"/>
  <c r="T168" i="1" s="1"/>
  <c r="S289" i="1"/>
  <c r="T289" i="1" s="1"/>
  <c r="S119" i="1"/>
  <c r="T119" i="1" s="1"/>
  <c r="S39" i="1"/>
  <c r="T39" i="1" s="1"/>
  <c r="S293" i="1"/>
  <c r="T293" i="1" s="1"/>
  <c r="S656" i="1"/>
  <c r="T656" i="1" s="1"/>
  <c r="S739" i="1"/>
  <c r="T739" i="1" s="1"/>
  <c r="S64" i="1"/>
  <c r="T64" i="1" s="1"/>
  <c r="S640" i="1"/>
  <c r="T640" i="1" s="1"/>
  <c r="S734" i="1"/>
  <c r="T734" i="1" s="1"/>
  <c r="S384" i="1"/>
  <c r="T384" i="1" s="1"/>
  <c r="S148" i="1"/>
  <c r="T148" i="1" s="1"/>
  <c r="S316" i="1"/>
  <c r="T316" i="1" s="1"/>
  <c r="S969" i="1"/>
  <c r="T969" i="1" s="1"/>
  <c r="S116" i="1"/>
  <c r="T116" i="1" s="1"/>
  <c r="S38" i="1"/>
  <c r="T38" i="1" s="1"/>
  <c r="S272" i="1"/>
  <c r="T272" i="1" s="1"/>
  <c r="S3" i="1"/>
  <c r="T3" i="1" s="1"/>
  <c r="S613" i="1"/>
  <c r="T613" i="1" s="1"/>
  <c r="S763" i="1"/>
  <c r="T763" i="1" s="1"/>
  <c r="S324" i="1"/>
  <c r="T324" i="1" s="1"/>
  <c r="S212" i="1"/>
  <c r="T212" i="1" s="1"/>
  <c r="S559" i="1"/>
  <c r="T559" i="1" s="1"/>
  <c r="S848" i="1"/>
  <c r="T848" i="1" s="1"/>
  <c r="S253" i="1"/>
  <c r="T253" i="1" s="1"/>
  <c r="S20" i="1"/>
  <c r="T20" i="1" s="1"/>
  <c r="S309" i="1"/>
  <c r="T309" i="1" s="1"/>
  <c r="S127" i="1"/>
  <c r="T127" i="1" s="1"/>
  <c r="S892" i="1"/>
  <c r="T892" i="1" s="1"/>
  <c r="S538" i="1"/>
  <c r="T538" i="1" s="1"/>
  <c r="S262" i="1"/>
  <c r="T262" i="1" s="1"/>
  <c r="S123" i="1"/>
  <c r="T123" i="1" s="1"/>
  <c r="S837" i="1"/>
  <c r="T837" i="1" s="1"/>
  <c r="S949" i="1"/>
  <c r="T949" i="1" s="1"/>
  <c r="S984" i="1"/>
  <c r="T984" i="1" s="1"/>
  <c r="S661" i="1"/>
  <c r="T661" i="1" s="1"/>
  <c r="S463" i="1"/>
  <c r="T463" i="1" s="1"/>
  <c r="S171" i="1"/>
  <c r="T171" i="1" s="1"/>
  <c r="S428" i="1"/>
  <c r="T428" i="1" s="1"/>
  <c r="S669" i="1"/>
  <c r="T669" i="1" s="1"/>
  <c r="S589" i="1"/>
  <c r="T589" i="1" s="1"/>
  <c r="S742" i="1"/>
  <c r="T742" i="1" s="1"/>
  <c r="S926" i="1"/>
  <c r="T926" i="1" s="1"/>
  <c r="S131" i="1"/>
  <c r="T131" i="1" s="1"/>
  <c r="S185" i="1"/>
  <c r="T185" i="1" s="1"/>
  <c r="S266" i="1"/>
  <c r="T266" i="1" s="1"/>
  <c r="S755" i="1"/>
  <c r="T755" i="1" s="1"/>
  <c r="S257" i="1"/>
  <c r="T257" i="1" s="1"/>
  <c r="S785" i="1"/>
  <c r="T785" i="1" s="1"/>
  <c r="S350" i="1"/>
  <c r="T350" i="1" s="1"/>
  <c r="S800" i="1"/>
  <c r="T800" i="1" s="1"/>
  <c r="S654" i="1"/>
  <c r="T654" i="1" s="1"/>
  <c r="S155" i="1"/>
  <c r="T155" i="1" s="1"/>
  <c r="S339" i="1"/>
  <c r="T339" i="1" s="1"/>
  <c r="S199" i="1"/>
  <c r="T199" i="1" s="1"/>
  <c r="S893" i="1"/>
  <c r="T893" i="1" s="1"/>
  <c r="S250" i="1"/>
  <c r="T250" i="1" s="1"/>
  <c r="S709" i="1"/>
  <c r="T709" i="1" s="1"/>
  <c r="S711" i="1"/>
  <c r="T711" i="1" s="1"/>
  <c r="S539" i="1"/>
  <c r="T539" i="1" s="1"/>
  <c r="S347" i="1"/>
  <c r="T347" i="1" s="1"/>
  <c r="S971" i="1"/>
  <c r="T971" i="1" s="1"/>
  <c r="S245" i="1"/>
  <c r="T245" i="1" s="1"/>
  <c r="S571" i="1"/>
  <c r="T571" i="1" s="1"/>
  <c r="S522" i="1"/>
  <c r="T522" i="1" s="1"/>
  <c r="S521" i="1"/>
  <c r="T521" i="1" s="1"/>
  <c r="S203" i="1"/>
  <c r="T203" i="1" s="1"/>
  <c r="S220" i="1"/>
  <c r="T220" i="1" s="1"/>
  <c r="S668" i="1"/>
  <c r="T668" i="1" s="1"/>
  <c r="S359" i="1"/>
  <c r="T359" i="1" s="1"/>
  <c r="S479" i="1"/>
  <c r="T479" i="1" s="1"/>
  <c r="S600" i="1"/>
  <c r="T600" i="1" s="1"/>
  <c r="S211" i="1"/>
  <c r="T211" i="1" s="1"/>
  <c r="S242" i="1"/>
  <c r="T242" i="1" s="1"/>
  <c r="S387" i="1"/>
  <c r="T387" i="1" s="1"/>
  <c r="S261" i="1"/>
  <c r="T261" i="1" s="1"/>
  <c r="S575" i="1"/>
  <c r="T575" i="1" s="1"/>
  <c r="S202" i="1"/>
  <c r="T202" i="1" s="1"/>
  <c r="S925" i="1"/>
  <c r="T925" i="1" s="1"/>
  <c r="S482" i="1"/>
  <c r="T482" i="1" s="1"/>
  <c r="S273" i="1"/>
  <c r="T273" i="1" s="1"/>
  <c r="S70" i="1"/>
  <c r="T70" i="1" s="1"/>
  <c r="S351" i="1"/>
  <c r="T351" i="1" s="1"/>
  <c r="S530" i="1"/>
  <c r="T530" i="1" s="1"/>
  <c r="S142" i="1"/>
  <c r="T142" i="1" s="1"/>
  <c r="S56" i="1"/>
  <c r="T56" i="1" s="1"/>
  <c r="S140" i="1"/>
  <c r="T140" i="1" s="1"/>
  <c r="S731" i="1"/>
  <c r="T731" i="1" s="1"/>
  <c r="S566" i="1"/>
  <c r="T566" i="1" s="1"/>
  <c r="S214" i="1"/>
  <c r="T214" i="1" s="1"/>
  <c r="S655" i="1"/>
  <c r="T655" i="1" s="1"/>
  <c r="S999" i="1"/>
  <c r="T999" i="1" s="1"/>
  <c r="S67" i="1"/>
  <c r="T67" i="1" s="1"/>
  <c r="S398" i="1"/>
  <c r="T398" i="1" s="1"/>
  <c r="S129" i="1"/>
  <c r="T129" i="1" s="1"/>
  <c r="S768" i="1"/>
  <c r="T768" i="1" s="1"/>
  <c r="S301" i="1"/>
  <c r="T301" i="1" s="1"/>
  <c r="S775" i="1"/>
  <c r="T775" i="1" s="1"/>
  <c r="S450" i="1"/>
  <c r="T450" i="1" s="1"/>
  <c r="S305" i="1"/>
  <c r="T305" i="1" s="1"/>
  <c r="S855" i="1"/>
  <c r="T855" i="1" s="1"/>
  <c r="S954" i="1"/>
  <c r="T954" i="1" s="1"/>
  <c r="S564" i="1"/>
  <c r="T564" i="1" s="1"/>
  <c r="S973" i="1"/>
  <c r="T973" i="1" s="1"/>
  <c r="S4" i="1"/>
  <c r="T4" i="1" s="1"/>
  <c r="S719" i="1"/>
  <c r="T719" i="1" s="1"/>
  <c r="S63" i="1"/>
  <c r="T63" i="1" s="1"/>
  <c r="S737" i="1"/>
  <c r="T737" i="1" s="1"/>
  <c r="S846" i="1"/>
  <c r="T846" i="1" s="1"/>
  <c r="S332" i="1"/>
  <c r="T332" i="1" s="1"/>
  <c r="S822" i="1"/>
  <c r="T822" i="1" s="1"/>
  <c r="S415" i="1"/>
  <c r="T415" i="1" s="1"/>
  <c r="S98" i="1"/>
  <c r="T98" i="1" s="1"/>
  <c r="S460" i="1"/>
  <c r="T460" i="1" s="1"/>
  <c r="S677" i="1"/>
  <c r="T677" i="1" s="1"/>
  <c r="S492" i="1"/>
  <c r="T492" i="1" s="1"/>
  <c r="S286" i="1"/>
  <c r="T286" i="1" s="1"/>
  <c r="S903" i="1"/>
  <c r="T903" i="1" s="1"/>
  <c r="S447" i="1"/>
  <c r="T447" i="1" s="1"/>
  <c r="S645" i="1"/>
  <c r="T645" i="1" s="1"/>
  <c r="S908" i="1"/>
  <c r="T908" i="1" s="1"/>
  <c r="S601" i="1"/>
  <c r="T601" i="1" s="1"/>
  <c r="S33" i="1"/>
  <c r="T33" i="1" s="1"/>
  <c r="S858" i="1"/>
  <c r="T858" i="1" s="1"/>
  <c r="S422" i="1"/>
  <c r="T422" i="1" s="1"/>
  <c r="S997" i="1"/>
  <c r="T997" i="1" s="1"/>
  <c r="S491" i="1"/>
  <c r="T491" i="1" s="1"/>
  <c r="S475" i="1"/>
  <c r="T475" i="1" s="1"/>
  <c r="S745" i="1"/>
  <c r="T745" i="1" s="1"/>
  <c r="S827" i="1"/>
  <c r="T827" i="1" s="1"/>
  <c r="S137" i="1"/>
  <c r="T137" i="1" s="1"/>
  <c r="S292" i="1"/>
  <c r="T292" i="1" s="1"/>
  <c r="S421" i="1"/>
  <c r="T421" i="1" s="1"/>
  <c r="S79" i="1"/>
  <c r="T79" i="1" s="1"/>
  <c r="S961" i="1"/>
  <c r="T961" i="1" s="1"/>
  <c r="S240" i="1"/>
  <c r="T240" i="1" s="1"/>
  <c r="S899" i="1"/>
  <c r="T899" i="1" s="1"/>
  <c r="S942" i="1"/>
  <c r="T942" i="1" s="1"/>
  <c r="S507" i="1"/>
  <c r="T507" i="1" s="1"/>
  <c r="S638" i="1"/>
  <c r="T638" i="1" s="1"/>
  <c r="S793" i="1"/>
  <c r="T793" i="1" s="1"/>
  <c r="S452" i="1"/>
  <c r="T452" i="1" s="1"/>
  <c r="S189" i="1"/>
  <c r="T189" i="1" s="1"/>
  <c r="S114" i="1"/>
  <c r="T114" i="1" s="1"/>
  <c r="S320" i="1"/>
  <c r="T320" i="1" s="1"/>
  <c r="S445" i="1"/>
  <c r="T445" i="1" s="1"/>
  <c r="S771" i="1"/>
  <c r="T771" i="1" s="1"/>
  <c r="S810" i="1"/>
  <c r="T810" i="1" s="1"/>
  <c r="S921" i="1"/>
  <c r="T921" i="1" s="1"/>
  <c r="S413" i="1"/>
  <c r="T413" i="1" s="1"/>
  <c r="S252" i="1"/>
  <c r="T252" i="1" s="1"/>
  <c r="S269" i="1"/>
  <c r="T269" i="1" s="1"/>
  <c r="S308" i="1"/>
  <c r="T308" i="1" s="1"/>
  <c r="S483" i="1"/>
  <c r="T483" i="1" s="1"/>
  <c r="S472" i="1"/>
  <c r="T472" i="1" s="1"/>
  <c r="S594" i="1"/>
  <c r="T594" i="1" s="1"/>
  <c r="S488" i="1"/>
  <c r="T488" i="1" s="1"/>
  <c r="S609" i="1"/>
  <c r="T609" i="1" s="1"/>
  <c r="S725" i="1"/>
  <c r="T725" i="1" s="1"/>
  <c r="S814" i="1"/>
  <c r="T814" i="1" s="1"/>
  <c r="S923" i="1"/>
  <c r="T923" i="1" s="1"/>
  <c r="S914" i="1"/>
  <c r="T914" i="1" s="1"/>
  <c r="S688" i="1"/>
  <c r="T688" i="1" s="1"/>
  <c r="S555" i="1"/>
  <c r="T555" i="1" s="1"/>
  <c r="S627" i="1"/>
  <c r="T627" i="1" s="1"/>
  <c r="S331" i="1"/>
  <c r="T331" i="1" s="1"/>
  <c r="S356" i="1"/>
  <c r="T356" i="1" s="1"/>
  <c r="S534" i="1"/>
  <c r="T534" i="1" s="1"/>
  <c r="S173" i="1"/>
  <c r="T173" i="1" s="1"/>
  <c r="S958" i="1"/>
  <c r="T958" i="1" s="1"/>
  <c r="S228" i="1"/>
  <c r="T228" i="1" s="1"/>
  <c r="S370" i="1"/>
  <c r="T370" i="1" s="1"/>
  <c r="S187" i="1"/>
  <c r="T187" i="1" s="1"/>
  <c r="S760" i="1"/>
  <c r="T760" i="1" s="1"/>
  <c r="S46" i="1"/>
  <c r="T46" i="1" s="1"/>
  <c r="S439" i="1"/>
  <c r="T439" i="1" s="1"/>
  <c r="S945" i="1"/>
  <c r="T945" i="1" s="1"/>
  <c r="S545" i="1"/>
  <c r="T545" i="1" s="1"/>
  <c r="S622" i="1"/>
  <c r="T622" i="1" s="1"/>
  <c r="S29" i="1"/>
  <c r="T29" i="1" s="1"/>
  <c r="S859" i="1"/>
  <c r="T859" i="1" s="1"/>
  <c r="S409" i="1"/>
  <c r="T409" i="1" s="1"/>
  <c r="S501" i="1"/>
  <c r="T501" i="1" s="1"/>
  <c r="S583" i="1"/>
  <c r="T583" i="1" s="1"/>
  <c r="S401" i="1"/>
  <c r="T401" i="1" s="1"/>
  <c r="S672" i="1"/>
  <c r="T672" i="1" s="1"/>
  <c r="S647" i="1"/>
  <c r="T647" i="1" s="1"/>
  <c r="S557" i="1"/>
  <c r="T557" i="1" s="1"/>
  <c r="S784" i="1"/>
  <c r="T784" i="1" s="1"/>
  <c r="S944" i="1"/>
  <c r="T944" i="1" s="1"/>
  <c r="S569" i="1"/>
  <c r="T569" i="1" s="1"/>
  <c r="S570" i="1"/>
  <c r="T570" i="1" s="1"/>
  <c r="S829" i="1"/>
  <c r="T829" i="1" s="1"/>
  <c r="S828" i="1"/>
  <c r="T828" i="1" s="1"/>
  <c r="S701" i="1"/>
  <c r="T701" i="1" s="1"/>
  <c r="S298" i="1"/>
  <c r="T298" i="1" s="1"/>
  <c r="S685" i="1"/>
  <c r="T685" i="1" s="1"/>
  <c r="S515" i="1"/>
  <c r="T515" i="1" s="1"/>
  <c r="S158" i="1"/>
  <c r="T158" i="1" s="1"/>
  <c r="S808" i="1"/>
  <c r="T808" i="1" s="1"/>
  <c r="S549" i="1"/>
  <c r="T549" i="1" s="1"/>
  <c r="S120" i="1"/>
  <c r="T120" i="1" s="1"/>
  <c r="S927" i="1"/>
  <c r="T927" i="1" s="1"/>
  <c r="S831" i="1"/>
  <c r="T831" i="1" s="1"/>
  <c r="S40" i="1"/>
  <c r="T40" i="1" s="1"/>
  <c r="S582" i="1"/>
  <c r="T582" i="1" s="1"/>
  <c r="S385" i="1"/>
  <c r="T385" i="1" s="1"/>
  <c r="S856" i="1"/>
  <c r="T856" i="1" s="1"/>
  <c r="S510" i="1"/>
  <c r="T510" i="1" s="1"/>
  <c r="S981" i="1"/>
  <c r="T981" i="1" s="1"/>
  <c r="S448" i="1"/>
  <c r="T448" i="1" s="1"/>
  <c r="S889" i="1"/>
  <c r="T889" i="1" s="1"/>
  <c r="S982" i="1"/>
  <c r="T982" i="1" s="1"/>
  <c r="S617" i="1"/>
  <c r="T617" i="1" s="1"/>
  <c r="S573" i="1"/>
  <c r="T573" i="1" s="1"/>
  <c r="S430" i="1"/>
  <c r="T430" i="1" s="1"/>
  <c r="S431" i="1"/>
  <c r="T431" i="1" s="1"/>
  <c r="S864" i="1"/>
  <c r="T864" i="1" s="1"/>
  <c r="S940" i="1"/>
  <c r="T940" i="1" s="1"/>
  <c r="S495" i="1"/>
  <c r="T495" i="1" s="1"/>
  <c r="S509" i="1"/>
  <c r="T509" i="1" s="1"/>
  <c r="S108" i="1"/>
  <c r="T108" i="1" s="1"/>
  <c r="S224" i="1"/>
  <c r="T224" i="1" s="1"/>
  <c r="S825" i="1"/>
  <c r="T825" i="1" s="1"/>
  <c r="S217" i="1"/>
  <c r="T217" i="1" s="1"/>
  <c r="S438" i="1"/>
  <c r="T438" i="1" s="1"/>
  <c r="S90" i="1"/>
  <c r="T90" i="1" s="1"/>
  <c r="S572" i="1"/>
  <c r="T572" i="1" s="1"/>
  <c r="S476" i="1"/>
  <c r="T476" i="1" s="1"/>
  <c r="S372" i="1"/>
  <c r="T372" i="1" s="1"/>
  <c r="S487" i="1"/>
  <c r="T487" i="1" s="1"/>
  <c r="S595" i="1"/>
  <c r="T595" i="1" s="1"/>
  <c r="S22" i="1"/>
  <c r="T22" i="1" s="1"/>
  <c r="S30" i="1"/>
  <c r="T30" i="1" s="1"/>
  <c r="S195" i="1"/>
  <c r="T195" i="1" s="1"/>
  <c r="S161" i="1"/>
  <c r="T161" i="1" s="1"/>
  <c r="S587" i="1"/>
  <c r="T587" i="1" s="1"/>
  <c r="S588" i="1"/>
  <c r="T588" i="1" s="1"/>
  <c r="S861" i="1"/>
  <c r="T861" i="1" s="1"/>
  <c r="S699" i="1"/>
  <c r="T699" i="1" s="1"/>
  <c r="S464" i="1"/>
  <c r="T464" i="1" s="1"/>
  <c r="S862" i="1"/>
  <c r="T862" i="1" s="1"/>
  <c r="S952" i="1"/>
  <c r="T952" i="1" s="1"/>
  <c r="S953" i="1"/>
  <c r="T953" i="1" s="1"/>
  <c r="S17" i="1"/>
  <c r="T17" i="1" s="1"/>
  <c r="S990" i="1"/>
  <c r="T990" i="1" s="1"/>
  <c r="S523" i="1"/>
  <c r="T523" i="1" s="1"/>
  <c r="S493" i="1"/>
  <c r="T493" i="1" s="1"/>
  <c r="S991" i="1"/>
  <c r="T991" i="1" s="1"/>
  <c r="S704" i="1"/>
  <c r="T704" i="1" s="1"/>
  <c r="S959" i="1"/>
  <c r="T959" i="1" s="1"/>
  <c r="S773" i="1"/>
  <c r="T773" i="1" s="1"/>
  <c r="S872" i="1"/>
  <c r="T872" i="1" s="1"/>
  <c r="S835" i="1"/>
  <c r="T835" i="1" s="1"/>
  <c r="S679" i="1"/>
  <c r="T679" i="1" s="1"/>
  <c r="S691" i="1"/>
  <c r="T691" i="1" s="1"/>
  <c r="S87" i="1"/>
  <c r="T87" i="1" s="1"/>
  <c r="S849" i="1"/>
  <c r="T849" i="1" s="1"/>
  <c r="S322" i="1"/>
  <c r="T322" i="1" s="1"/>
  <c r="S323" i="1"/>
  <c r="T323" i="1" s="1"/>
  <c r="S321" i="1"/>
  <c r="T321" i="1" s="1"/>
  <c r="S229" i="1"/>
  <c r="T229" i="1" s="1"/>
  <c r="S631" i="1"/>
  <c r="T631" i="1" s="1"/>
  <c r="S209" i="1"/>
  <c r="T209" i="1" s="1"/>
  <c r="S536" i="1"/>
  <c r="T536" i="1" s="1"/>
  <c r="S207" i="1"/>
  <c r="T207" i="1" s="1"/>
  <c r="S1000" i="1"/>
  <c r="T1000" i="1" s="1"/>
  <c r="S390" i="1"/>
  <c r="T390" i="1" s="1"/>
  <c r="S621" i="1"/>
  <c r="T621" i="1" s="1"/>
  <c r="S929" i="1"/>
  <c r="T929" i="1" s="1"/>
  <c r="S636" i="1"/>
  <c r="T636" i="1" s="1"/>
  <c r="S563" i="1"/>
  <c r="T563" i="1" s="1"/>
  <c r="S25" i="1"/>
  <c r="T25" i="1" s="1"/>
  <c r="S94" i="1"/>
  <c r="T94" i="1" s="1"/>
  <c r="S675" i="1"/>
  <c r="T675" i="1" s="1"/>
  <c r="S963" i="1"/>
  <c r="T963" i="1" s="1"/>
  <c r="S205" i="1"/>
  <c r="T205" i="1" s="1"/>
  <c r="S650" i="1"/>
  <c r="T650" i="1" s="1"/>
  <c r="S651" i="1"/>
  <c r="T651" i="1" s="1"/>
  <c r="S694" i="1"/>
  <c r="T694" i="1" s="1"/>
  <c r="S643" i="1"/>
  <c r="T643" i="1" s="1"/>
  <c r="S419" i="1"/>
  <c r="T419" i="1" s="1"/>
  <c r="S95" i="1"/>
  <c r="T95" i="1" s="1"/>
  <c r="S468" i="1"/>
  <c r="T468" i="1" s="1"/>
  <c r="S852" i="1"/>
  <c r="T852" i="1" s="1"/>
  <c r="S180" i="1"/>
  <c r="T180" i="1" s="1"/>
  <c r="S146" i="1"/>
  <c r="T146" i="1" s="1"/>
  <c r="S717" i="1"/>
  <c r="T717" i="1" s="1"/>
  <c r="S718" i="1"/>
  <c r="T718" i="1" s="1"/>
  <c r="S288" i="1"/>
  <c r="T288" i="1" s="1"/>
  <c r="S977" i="1"/>
  <c r="T977" i="1" s="1"/>
  <c r="S367" i="1"/>
  <c r="T367" i="1" s="1"/>
  <c r="S646" i="1"/>
  <c r="T646" i="1" s="1"/>
  <c r="S544" i="1"/>
  <c r="T544" i="1" s="1"/>
  <c r="S318" i="1"/>
  <c r="T318" i="1" s="1"/>
  <c r="S551" i="1"/>
  <c r="T551" i="1" s="1"/>
  <c r="S141" i="1"/>
  <c r="T141" i="1" s="1"/>
  <c r="S983" i="1"/>
  <c r="T983" i="1" s="1"/>
  <c r="S561" i="1"/>
  <c r="T561" i="1" s="1"/>
  <c r="S115" i="1"/>
  <c r="T115" i="1" s="1"/>
  <c r="S909" i="1"/>
  <c r="T909" i="1" s="1"/>
  <c r="S210" i="1"/>
  <c r="T210" i="1" s="1"/>
  <c r="S449" i="1"/>
  <c r="T449" i="1" s="1"/>
  <c r="S412" i="1"/>
  <c r="T412" i="1" s="1"/>
  <c r="S803" i="1"/>
  <c r="T803" i="1" s="1"/>
  <c r="S857" i="1"/>
  <c r="T857" i="1" s="1"/>
  <c r="S887" i="1"/>
  <c r="T887" i="1" s="1"/>
  <c r="S427" i="1"/>
  <c r="T427" i="1" s="1"/>
  <c r="S251" i="1"/>
  <c r="T251" i="1" s="1"/>
  <c r="S902" i="1"/>
  <c r="T902" i="1" s="1"/>
  <c r="S111" i="1"/>
  <c r="T111" i="1" s="1"/>
  <c r="S673" i="1"/>
  <c r="T673" i="1" s="1"/>
  <c r="S660" i="1"/>
  <c r="T660" i="1" s="1"/>
  <c r="S249" i="1"/>
  <c r="T249" i="1" s="1"/>
  <c r="S880" i="1"/>
  <c r="T880" i="1" s="1"/>
  <c r="S130" i="1"/>
  <c r="T130" i="1" s="1"/>
  <c r="S106" i="1"/>
  <c r="T106" i="1" s="1"/>
  <c r="S527" i="1"/>
  <c r="T527" i="1" s="1"/>
  <c r="S626" i="1"/>
  <c r="T626" i="1" s="1"/>
  <c r="S122" i="1"/>
  <c r="T122" i="1" s="1"/>
  <c r="S184" i="1"/>
  <c r="T184" i="1" s="1"/>
  <c r="S71" i="1"/>
  <c r="T71" i="1" s="1"/>
  <c r="S836" i="1"/>
  <c r="T836" i="1" s="1"/>
  <c r="S558" i="1"/>
  <c r="T558" i="1" s="1"/>
  <c r="S931" i="1"/>
  <c r="T931" i="1" s="1"/>
  <c r="S268" i="1"/>
  <c r="T268" i="1" s="1"/>
  <c r="S147" i="1"/>
  <c r="T147" i="1" s="1"/>
  <c r="S970" i="1"/>
  <c r="T970" i="1" s="1"/>
  <c r="S304" i="1"/>
  <c r="T304" i="1" s="1"/>
  <c r="S941" i="1"/>
  <c r="T941" i="1" s="1"/>
  <c r="S950" i="1"/>
  <c r="T950" i="1" s="1"/>
  <c r="S232" i="1"/>
  <c r="T232" i="1" s="1"/>
  <c r="S368" i="1"/>
  <c r="T368" i="1" s="1"/>
  <c r="S823" i="1"/>
  <c r="T823" i="1" s="1"/>
  <c r="S76" i="1"/>
  <c r="T76" i="1" s="1"/>
  <c r="S607" i="1"/>
  <c r="T607" i="1" s="1"/>
  <c r="S728" i="1"/>
  <c r="T728" i="1" s="1"/>
  <c r="S779" i="1"/>
  <c r="T779" i="1" s="1"/>
  <c r="S789" i="1"/>
  <c r="T789" i="1" s="1"/>
  <c r="S191" i="1"/>
  <c r="T191" i="1" s="1"/>
  <c r="S966" i="1"/>
  <c r="T966" i="1" s="1"/>
  <c r="S279" i="1"/>
  <c r="T279" i="1" s="1"/>
  <c r="S946" i="1"/>
  <c r="T946" i="1" s="1"/>
  <c r="S306" i="1"/>
  <c r="T306" i="1" s="1"/>
  <c r="S584" i="1"/>
  <c r="T584" i="1" s="1"/>
  <c r="S769" i="1"/>
  <c r="T769" i="1" s="1"/>
  <c r="S882" i="1"/>
  <c r="T882" i="1" s="1"/>
  <c r="S713" i="1"/>
  <c r="T713" i="1" s="1"/>
  <c r="S361" i="1"/>
  <c r="T361" i="1" s="1"/>
  <c r="S159" i="1"/>
  <c r="T159" i="1" s="1"/>
  <c r="S911" i="1"/>
  <c r="T911" i="1" s="1"/>
  <c r="S602" i="1"/>
  <c r="T602" i="1" s="1"/>
  <c r="S109" i="1"/>
  <c r="T109" i="1" s="1"/>
  <c r="S164" i="1"/>
  <c r="T164" i="1" s="1"/>
  <c r="S364" i="1"/>
  <c r="T364" i="1" s="1"/>
  <c r="S618" i="1"/>
  <c r="T618" i="1" s="1"/>
  <c r="S832" i="1"/>
  <c r="T832" i="1" s="1"/>
  <c r="S343" i="1"/>
  <c r="T343" i="1" s="1"/>
  <c r="S52" i="1"/>
  <c r="T52" i="1" s="1"/>
  <c r="S531" i="1"/>
  <c r="T531" i="1" s="1"/>
  <c r="S377" i="1"/>
  <c r="T377" i="1" s="1"/>
  <c r="S818" i="1"/>
  <c r="T818" i="1" s="1"/>
  <c r="S455" i="1"/>
  <c r="T455" i="1" s="1"/>
  <c r="S134" i="1"/>
  <c r="T134" i="1" s="1"/>
  <c r="S477" i="1"/>
  <c r="T477" i="1" s="1"/>
  <c r="S174" i="1"/>
  <c r="T174" i="1" s="1"/>
  <c r="S340" i="1"/>
  <c r="T340" i="1" s="1"/>
  <c r="S99" i="1"/>
  <c r="T99" i="1" s="1"/>
  <c r="S552" i="1"/>
  <c r="T552" i="1" s="1"/>
  <c r="S951" i="1"/>
  <c r="T951" i="1" s="1"/>
  <c r="S429" i="1"/>
  <c r="T429" i="1" s="1"/>
  <c r="S100" i="1"/>
  <c r="T100" i="1" s="1"/>
  <c r="S312" i="1"/>
  <c r="T312" i="1" s="1"/>
  <c r="S513" i="1"/>
  <c r="T513" i="1" s="1"/>
  <c r="S417" i="1"/>
  <c r="T417" i="1" s="1"/>
  <c r="S603" i="1"/>
  <c r="T603" i="1" s="1"/>
  <c r="S798" i="1"/>
  <c r="T798" i="1" s="1"/>
  <c r="S686" i="1"/>
  <c r="T686" i="1" s="1"/>
  <c r="S750" i="1"/>
  <c r="T750" i="1" s="1"/>
  <c r="S758" i="1"/>
  <c r="T758" i="1" s="1"/>
  <c r="S840" i="1"/>
  <c r="T840" i="1" s="1"/>
  <c r="S74" i="1"/>
  <c r="T74" i="1" s="1"/>
  <c r="S806" i="1"/>
  <c r="T806" i="1" s="1"/>
  <c r="S816" i="1"/>
  <c r="T816" i="1" s="1"/>
  <c r="S485" i="1"/>
  <c r="T485" i="1" s="1"/>
  <c r="S80" i="1"/>
  <c r="T80" i="1" s="1"/>
  <c r="S695" i="1"/>
  <c r="T695" i="1" s="1"/>
  <c r="S169" i="1"/>
  <c r="T169" i="1" s="1"/>
  <c r="S506" i="1"/>
  <c r="T506" i="1" s="1"/>
  <c r="S8" i="1"/>
  <c r="T8" i="1" s="1"/>
  <c r="S504" i="1"/>
  <c r="T504" i="1" s="1"/>
  <c r="S399" i="1"/>
  <c r="T399" i="1" s="1"/>
  <c r="S373" i="1"/>
  <c r="T373" i="1" s="1"/>
  <c r="S219" i="1"/>
  <c r="T219" i="1" s="1"/>
  <c r="S34" i="1"/>
  <c r="T34" i="1" s="1"/>
  <c r="S291" i="1"/>
  <c r="T291" i="1" s="1"/>
  <c r="S995" i="1"/>
  <c r="T995" i="1" s="1"/>
  <c r="S774" i="1"/>
  <c r="T774" i="1" s="1"/>
  <c r="S386" i="1"/>
  <c r="T386" i="1" s="1"/>
  <c r="S565" i="1"/>
  <c r="T565" i="1" s="1"/>
  <c r="S529" i="1"/>
  <c r="T529" i="1" s="1"/>
  <c r="S778" i="1"/>
  <c r="T778" i="1" s="1"/>
  <c r="S730" i="1"/>
  <c r="T730" i="1" s="1"/>
  <c r="S18" i="1"/>
  <c r="T18" i="1" s="1"/>
  <c r="S658" i="1"/>
  <c r="T658" i="1" s="1"/>
  <c r="S644" i="1"/>
  <c r="T644" i="1" s="1"/>
  <c r="S311" i="1"/>
  <c r="T311" i="1" s="1"/>
  <c r="S97" i="1"/>
  <c r="T97" i="1" s="1"/>
  <c r="S502" i="1"/>
  <c r="T502" i="1" s="1"/>
  <c r="S934" i="1"/>
  <c r="T934" i="1" s="1"/>
  <c r="S826" i="1"/>
  <c r="T826" i="1" s="1"/>
  <c r="S924" i="1"/>
  <c r="T924" i="1" s="1"/>
  <c r="S641" i="1"/>
  <c r="T641" i="1" s="1"/>
  <c r="S420" i="1"/>
  <c r="T420" i="1" s="1"/>
  <c r="S425" i="1"/>
  <c r="T425" i="1" s="1"/>
  <c r="S633" i="1"/>
  <c r="T633" i="1" s="1"/>
  <c r="S103" i="1"/>
  <c r="T103" i="1" s="1"/>
  <c r="S787" i="1"/>
  <c r="T787" i="1" s="1"/>
  <c r="S868" i="1"/>
  <c r="T868" i="1" s="1"/>
  <c r="S283" i="1"/>
  <c r="T283" i="1" s="1"/>
  <c r="S905" i="1"/>
  <c r="T905" i="1" s="1"/>
  <c r="S794" i="1"/>
  <c r="T794" i="1" s="1"/>
  <c r="S295" i="1"/>
  <c r="T295" i="1" s="1"/>
  <c r="S681" i="1"/>
  <c r="T681" i="1" s="1"/>
  <c r="S443" i="1"/>
  <c r="T443" i="1" s="1"/>
  <c r="S88" i="1"/>
  <c r="T88" i="1" s="1"/>
  <c r="S36" i="1"/>
  <c r="T36" i="1" s="1"/>
  <c r="S877" i="1"/>
  <c r="T877" i="1" s="1"/>
  <c r="S302" i="1"/>
  <c r="T302" i="1" s="1"/>
  <c r="S964" i="1"/>
  <c r="T964" i="1" s="1"/>
  <c r="S866" i="1"/>
  <c r="T866" i="1" s="1"/>
  <c r="S299" i="1"/>
  <c r="T299" i="1" s="1"/>
  <c r="S152" i="1"/>
  <c r="T152" i="1" s="1"/>
  <c r="S664" i="1"/>
  <c r="T664" i="1" s="1"/>
  <c r="S936" i="1"/>
  <c r="T936" i="1" s="1"/>
  <c r="S869" i="1"/>
  <c r="T869" i="1" s="1"/>
  <c r="S696" i="1"/>
  <c r="T696" i="1" s="1"/>
  <c r="S406" i="1"/>
  <c r="T406" i="1" s="1"/>
  <c r="S812" i="1"/>
  <c r="T812" i="1" s="1"/>
  <c r="S333" i="1"/>
  <c r="T333" i="1" s="1"/>
  <c r="S247" i="1"/>
  <c r="T247" i="1" s="1"/>
  <c r="S329" i="1"/>
  <c r="T329" i="1" s="1"/>
  <c r="S747" i="1"/>
  <c r="T747" i="1" s="1"/>
  <c r="S843" i="1"/>
  <c r="T843" i="1" s="1"/>
  <c r="S238" i="1"/>
  <c r="T238" i="1" s="1"/>
  <c r="S895" i="1"/>
  <c r="T895" i="1" s="1"/>
  <c r="S471" i="1"/>
  <c r="T471" i="1" s="1"/>
  <c r="S577" i="1"/>
  <c r="T577" i="1" s="1"/>
  <c r="S436" i="1"/>
  <c r="T436" i="1" s="1"/>
  <c r="S177" i="1"/>
  <c r="T177" i="1" s="1"/>
  <c r="S391" i="1"/>
  <c r="T391" i="1" s="1"/>
  <c r="S885" i="1"/>
  <c r="T885" i="1" s="1"/>
  <c r="S820" i="1"/>
  <c r="T820" i="1" s="1"/>
  <c r="S458" i="1"/>
  <c r="T458" i="1" s="1"/>
  <c r="S978" i="1"/>
  <c r="T978" i="1" s="1"/>
  <c r="S546" i="1"/>
  <c r="T546" i="1" s="1"/>
  <c r="S337" i="1"/>
  <c r="T337" i="1" s="1"/>
  <c r="S780" i="1"/>
  <c r="T780" i="1" s="1"/>
  <c r="S723" i="1"/>
  <c r="T723" i="1" s="1"/>
  <c r="S60" i="1"/>
  <c r="T60" i="1" s="1"/>
  <c r="S663" i="1"/>
  <c r="T663" i="1" s="1"/>
  <c r="S365" i="1"/>
  <c r="T365" i="1" s="1"/>
  <c r="S593" i="1"/>
  <c r="T593" i="1" s="1"/>
  <c r="S102" i="1"/>
  <c r="T102" i="1" s="1"/>
  <c r="S294" i="1"/>
  <c r="T294" i="1" s="1"/>
  <c r="S738" i="1"/>
  <c r="T738" i="1" s="1"/>
  <c r="S865" i="1"/>
  <c r="T865" i="1" s="1"/>
  <c r="S230" i="1"/>
  <c r="T230" i="1" s="1"/>
  <c r="S382" i="1"/>
  <c r="T382" i="1" s="1"/>
  <c r="S58" i="1"/>
  <c r="T58" i="1" s="1"/>
  <c r="S790" i="1"/>
  <c r="T790" i="1" s="1"/>
  <c r="S201" i="1"/>
  <c r="T201" i="1" s="1"/>
  <c r="S440" i="1"/>
  <c r="T440" i="1" s="1"/>
  <c r="S246" i="1"/>
  <c r="T246" i="1" s="1"/>
  <c r="S756" i="1"/>
  <c r="T756" i="1" s="1"/>
  <c r="S68" i="1"/>
  <c r="T68" i="1" s="1"/>
  <c r="S967" i="1"/>
  <c r="T967" i="1" s="1"/>
  <c r="S783" i="1"/>
  <c r="T783" i="1" s="1"/>
  <c r="S702" i="1"/>
  <c r="T702" i="1" s="1"/>
  <c r="S586" i="1"/>
  <c r="T586" i="1" s="1"/>
  <c r="S706" i="1"/>
  <c r="T706" i="1" s="1"/>
  <c r="S236" i="1"/>
  <c r="T236" i="1" s="1"/>
  <c r="S614" i="1"/>
  <c r="T614" i="1" s="1"/>
  <c r="S524" i="1"/>
  <c r="T524" i="1" s="1"/>
  <c r="S801" i="1"/>
  <c r="T801" i="1" s="1"/>
  <c r="S13" i="1"/>
  <c r="T13" i="1" s="1"/>
  <c r="S919" i="1"/>
  <c r="T919" i="1" s="1"/>
  <c r="S5" i="1"/>
  <c r="T5" i="1" s="1"/>
  <c r="S915" i="1"/>
  <c r="T915" i="1" s="1"/>
  <c r="S263" i="1"/>
  <c r="T263" i="1" s="1"/>
  <c r="S591" i="1"/>
  <c r="T591" i="1" s="1"/>
  <c r="S10" i="1"/>
  <c r="T10" i="1" s="1"/>
  <c r="S781" i="1"/>
  <c r="T781" i="1" s="1"/>
  <c r="S753" i="1"/>
  <c r="T753" i="1" s="1"/>
  <c r="S404" i="1"/>
  <c r="T404" i="1" s="1"/>
  <c r="S542" i="1"/>
  <c r="T542" i="1" s="1"/>
  <c r="S597" i="1"/>
  <c r="T597" i="1" s="1"/>
  <c r="S326" i="1"/>
  <c r="T326" i="1" s="1"/>
  <c r="S762" i="1"/>
  <c r="T762" i="1" s="1"/>
  <c r="S255" i="1"/>
  <c r="T255" i="1" s="1"/>
  <c r="S906" i="1"/>
  <c r="T906" i="1" s="1"/>
  <c r="S612" i="1"/>
  <c r="T612" i="1" s="1"/>
  <c r="S913" i="1"/>
  <c r="T913" i="1" s="1"/>
  <c r="S42" i="1"/>
  <c r="T42" i="1" s="1"/>
  <c r="S126" i="1"/>
  <c r="T126" i="1" s="1"/>
  <c r="S764" i="1"/>
  <c r="T764" i="1" s="1"/>
  <c r="S604" i="1"/>
  <c r="T604" i="1" s="1"/>
  <c r="S53" i="1"/>
  <c r="T53" i="1" s="1"/>
  <c r="S275" i="1"/>
  <c r="T275" i="1" s="1"/>
  <c r="S149" i="1"/>
  <c r="T149" i="1" s="1"/>
  <c r="S986" i="1"/>
  <c r="T986" i="1" s="1"/>
  <c r="H8" i="6" l="1"/>
  <c r="C12" i="5"/>
  <c r="B13" i="5"/>
  <c r="B9" i="6" a="1"/>
  <c r="B9" i="6" s="1"/>
  <c r="C9" i="6" s="1"/>
  <c r="R7" i="2"/>
  <c r="R9" i="2" s="1"/>
  <c r="R11" i="2" s="1"/>
  <c r="R5" i="2"/>
  <c r="S1006" i="1"/>
  <c r="S1007" i="1"/>
  <c r="J8" i="6" l="1"/>
  <c r="G9" i="6"/>
  <c r="I9" i="6" s="1"/>
  <c r="E9" i="6" a="1"/>
  <c r="E9" i="6" s="1"/>
  <c r="F9" i="6" s="1"/>
  <c r="C13" i="5"/>
  <c r="B14" i="5"/>
  <c r="R13" i="2"/>
  <c r="H9" i="6" l="1"/>
  <c r="C14" i="5"/>
  <c r="B15" i="5"/>
  <c r="B10" i="6" a="1"/>
  <c r="B10" i="6" s="1"/>
  <c r="C10" i="6" s="1"/>
  <c r="J9" i="6" l="1"/>
  <c r="G10" i="6"/>
  <c r="I10" i="6" s="1"/>
  <c r="E10" i="6" a="1"/>
  <c r="E10" i="6" s="1"/>
  <c r="F10" i="6" s="1"/>
  <c r="C15" i="5"/>
  <c r="B16" i="5"/>
  <c r="H10" i="6" l="1"/>
  <c r="C16" i="5"/>
  <c r="B17" i="5"/>
  <c r="B11" i="6" a="1"/>
  <c r="B11" i="6" s="1"/>
  <c r="C11" i="6" s="1"/>
  <c r="J10" i="6" l="1"/>
  <c r="G11" i="6"/>
  <c r="I11" i="6" s="1"/>
  <c r="C17" i="5"/>
  <c r="B12" i="6" s="1" a="1"/>
  <c r="B12" i="6" s="1"/>
  <c r="C12" i="6" s="1"/>
  <c r="B18" i="5"/>
  <c r="E11" i="6" a="1"/>
  <c r="E11" i="6" s="1"/>
  <c r="F11" i="6" s="1"/>
  <c r="H11" i="6" l="1"/>
  <c r="C18" i="5"/>
  <c r="E12" i="6" s="1" a="1"/>
  <c r="E12" i="6" s="1"/>
  <c r="F12" i="6" s="1"/>
  <c r="B19" i="5"/>
  <c r="J11" i="6" l="1"/>
  <c r="G12" i="6"/>
  <c r="I12" i="6" s="1"/>
  <c r="C19" i="5"/>
  <c r="B13" i="6" s="1" a="1"/>
  <c r="B13" i="6" s="1"/>
  <c r="C13" i="6" s="1"/>
  <c r="B20" i="5"/>
  <c r="H12" i="6" l="1"/>
  <c r="C20" i="5"/>
  <c r="E13" i="6" s="1" a="1"/>
  <c r="E13" i="6" s="1"/>
  <c r="F13" i="6" s="1"/>
  <c r="B21" i="5"/>
  <c r="J12" i="6" l="1"/>
  <c r="G13" i="6"/>
  <c r="I13" i="6" s="1"/>
  <c r="C21" i="5"/>
  <c r="B14" i="6" s="1" a="1"/>
  <c r="B14" i="6" s="1"/>
  <c r="C14" i="6" s="1"/>
  <c r="B22" i="5"/>
  <c r="H13" i="6" l="1"/>
  <c r="C22" i="5"/>
  <c r="E14" i="6" s="1" a="1"/>
  <c r="E14" i="6" s="1"/>
  <c r="F14" i="6" s="1"/>
  <c r="B23" i="5"/>
  <c r="J13" i="6" l="1"/>
  <c r="G14" i="6"/>
  <c r="I14" i="6" s="1"/>
  <c r="C23" i="5"/>
  <c r="B15" i="6" s="1" a="1"/>
  <c r="B15" i="6" s="1"/>
  <c r="C15" i="6" s="1"/>
  <c r="B24" i="5"/>
  <c r="H14" i="6" l="1"/>
  <c r="C24" i="5"/>
  <c r="E15" i="6" s="1" a="1"/>
  <c r="E15" i="6" s="1"/>
  <c r="F15" i="6" s="1"/>
  <c r="B25" i="5"/>
  <c r="J14" i="6" l="1"/>
  <c r="G15" i="6"/>
  <c r="I15" i="6" s="1"/>
  <c r="C25" i="5"/>
  <c r="B16" i="6" s="1" a="1"/>
  <c r="B16" i="6" s="1"/>
  <c r="C16" i="6" s="1"/>
  <c r="B26" i="5"/>
  <c r="H15" i="6" l="1"/>
  <c r="C26" i="5"/>
  <c r="E16" i="6" s="1" a="1"/>
  <c r="E16" i="6" s="1"/>
  <c r="F16" i="6" s="1"/>
  <c r="B27" i="5"/>
  <c r="J15" i="6" l="1"/>
  <c r="G16" i="6"/>
  <c r="I16" i="6" s="1"/>
  <c r="C27" i="5"/>
  <c r="B17" i="6" s="1" a="1"/>
  <c r="B17" i="6" s="1"/>
  <c r="C17" i="6" s="1"/>
  <c r="B28" i="5"/>
  <c r="H16" i="6" l="1"/>
  <c r="C28" i="5"/>
  <c r="E17" i="6" s="1" a="1"/>
  <c r="E17" i="6" s="1"/>
  <c r="F17" i="6" s="1"/>
  <c r="B29" i="5"/>
  <c r="J16" i="6" l="1"/>
  <c r="G17" i="6"/>
  <c r="I17" i="6" s="1"/>
  <c r="C29" i="5"/>
  <c r="B18" i="6" s="1" a="1"/>
  <c r="B18" i="6" s="1"/>
  <c r="C18" i="6" s="1"/>
  <c r="B30" i="5"/>
  <c r="H17" i="6" l="1"/>
  <c r="C30" i="5"/>
  <c r="E18" i="6" s="1" a="1"/>
  <c r="E18" i="6" s="1"/>
  <c r="F18" i="6" s="1"/>
  <c r="B31" i="5"/>
  <c r="J17" i="6" l="1"/>
  <c r="G18" i="6"/>
  <c r="I18" i="6" s="1"/>
  <c r="C31" i="5"/>
  <c r="B19" i="6" s="1" a="1"/>
  <c r="B19" i="6" s="1"/>
  <c r="C19" i="6" s="1"/>
  <c r="B32" i="5"/>
  <c r="H18" i="6" l="1"/>
  <c r="C32" i="5"/>
  <c r="E19" i="6" s="1" a="1"/>
  <c r="E19" i="6" s="1"/>
  <c r="F19" i="6" s="1"/>
  <c r="B33" i="5"/>
  <c r="J18" i="6" l="1"/>
  <c r="G19" i="6"/>
  <c r="I19" i="6" s="1"/>
  <c r="C33" i="5"/>
  <c r="B20" i="6" s="1" a="1"/>
  <c r="B20" i="6" s="1"/>
  <c r="C20" i="6" s="1"/>
  <c r="B34" i="5"/>
  <c r="H19" i="6" l="1"/>
  <c r="C34" i="5"/>
  <c r="E20" i="6" s="1" a="1"/>
  <c r="E20" i="6" s="1"/>
  <c r="F20" i="6" s="1"/>
  <c r="B35" i="5"/>
  <c r="J19" i="6" l="1"/>
  <c r="G20" i="6"/>
  <c r="I20" i="6" s="1"/>
  <c r="C35" i="5"/>
  <c r="B21" i="6" s="1" a="1"/>
  <c r="B21" i="6" s="1"/>
  <c r="C21" i="6" s="1"/>
  <c r="B36" i="5"/>
  <c r="H20" i="6" l="1"/>
  <c r="C36" i="5"/>
  <c r="E21" i="6" s="1" a="1"/>
  <c r="E21" i="6" s="1"/>
  <c r="F21" i="6" s="1"/>
  <c r="B37" i="5"/>
  <c r="J20" i="6" l="1"/>
  <c r="G21" i="6"/>
  <c r="I21" i="6" s="1"/>
  <c r="C37" i="5"/>
  <c r="B22" i="6" s="1" a="1"/>
  <c r="B22" i="6" s="1"/>
  <c r="C22" i="6" s="1"/>
  <c r="B38" i="5"/>
  <c r="H21" i="6" l="1"/>
  <c r="C38" i="5"/>
  <c r="E22" i="6" s="1" a="1"/>
  <c r="E22" i="6" s="1"/>
  <c r="F22" i="6" s="1"/>
  <c r="B39" i="5"/>
  <c r="J21" i="6" l="1"/>
  <c r="G22" i="6"/>
  <c r="I22" i="6" s="1"/>
  <c r="H22" i="6"/>
  <c r="C39" i="5"/>
  <c r="B23" i="6" s="1" a="1"/>
  <c r="B23" i="6" s="1"/>
  <c r="C23" i="6" s="1"/>
  <c r="B40" i="5"/>
  <c r="J22" i="6" l="1"/>
  <c r="G23" i="6"/>
  <c r="I23" i="6"/>
  <c r="C40" i="5"/>
  <c r="E23" i="6" s="1" a="1"/>
  <c r="E23" i="6" s="1"/>
  <c r="F23" i="6" s="1"/>
  <c r="H23" i="6" s="1"/>
  <c r="B41" i="5"/>
  <c r="J23" i="6" l="1"/>
  <c r="G24" i="6"/>
  <c r="C41" i="5"/>
  <c r="B24" i="6" s="1" a="1"/>
  <c r="B24" i="6" s="1"/>
  <c r="C24" i="6" s="1"/>
  <c r="I24" i="6" s="1"/>
  <c r="B42" i="5"/>
  <c r="C42" i="5" l="1"/>
  <c r="E24" i="6" s="1" a="1"/>
  <c r="E24" i="6" s="1"/>
  <c r="F24" i="6" s="1"/>
  <c r="H24" i="6" s="1"/>
  <c r="B43" i="5"/>
  <c r="J24" i="6" l="1"/>
  <c r="G25" i="6"/>
  <c r="C43" i="5"/>
  <c r="B25" i="6" s="1" a="1"/>
  <c r="B25" i="6" s="1"/>
  <c r="C25" i="6" s="1"/>
  <c r="B44" i="5"/>
  <c r="I25" i="6" l="1"/>
  <c r="C44" i="5"/>
  <c r="E25" i="6" s="1" a="1"/>
  <c r="E25" i="6" s="1"/>
  <c r="F25" i="6" s="1"/>
  <c r="H25" i="6" s="1"/>
  <c r="B45" i="5"/>
  <c r="J25" i="6" l="1"/>
  <c r="G26" i="6"/>
  <c r="C45" i="5"/>
  <c r="B26" i="6" s="1" a="1"/>
  <c r="B26" i="6" s="1"/>
  <c r="C26" i="6" s="1"/>
  <c r="I26" i="6" s="1"/>
  <c r="B46" i="5"/>
  <c r="C46" i="5" l="1"/>
  <c r="E26" i="6" s="1" a="1"/>
  <c r="E26" i="6" s="1"/>
  <c r="F26" i="6" s="1"/>
  <c r="H26" i="6" s="1"/>
  <c r="B47" i="5"/>
  <c r="J26" i="6" l="1"/>
  <c r="G27" i="6"/>
  <c r="C47" i="5"/>
  <c r="B27" i="6" s="1" a="1"/>
  <c r="B27" i="6" s="1"/>
  <c r="C27" i="6" s="1"/>
  <c r="I27" i="6" s="1"/>
  <c r="B48" i="5"/>
  <c r="C48" i="5" l="1"/>
  <c r="E27" i="6" s="1" a="1"/>
  <c r="E27" i="6" s="1"/>
  <c r="F27" i="6" s="1"/>
  <c r="H27" i="6" s="1"/>
  <c r="B49" i="5"/>
  <c r="J27" i="6" l="1"/>
  <c r="G28" i="6"/>
  <c r="C49" i="5"/>
  <c r="B28" i="6" s="1" a="1"/>
  <c r="B28" i="6" s="1"/>
  <c r="C28" i="6" s="1"/>
  <c r="B50" i="5"/>
  <c r="I28" i="6" l="1"/>
  <c r="C50" i="5"/>
  <c r="E28" i="6" s="1" a="1"/>
  <c r="E28" i="6" s="1"/>
  <c r="F28" i="6" s="1"/>
  <c r="H28" i="6" s="1"/>
  <c r="B51" i="5"/>
  <c r="J28" i="6" l="1"/>
  <c r="G29" i="6"/>
  <c r="C51" i="5"/>
  <c r="B29" i="6" s="1" a="1"/>
  <c r="B29" i="6" s="1"/>
  <c r="C29" i="6" s="1"/>
  <c r="B52" i="5"/>
  <c r="I29" i="6" l="1"/>
  <c r="C52" i="5"/>
  <c r="E29" i="6" s="1" a="1"/>
  <c r="E29" i="6" s="1"/>
  <c r="F29" i="6" s="1"/>
  <c r="H29" i="6" s="1"/>
  <c r="B53" i="5"/>
  <c r="J29" i="6" l="1"/>
  <c r="G30" i="6"/>
  <c r="C53" i="5"/>
  <c r="B30" i="6" s="1" a="1"/>
  <c r="B30" i="6" s="1"/>
  <c r="C30" i="6" s="1"/>
  <c r="I30" i="6" s="1"/>
  <c r="B54" i="5"/>
  <c r="C54" i="5" l="1"/>
  <c r="E30" i="6" s="1" a="1"/>
  <c r="E30" i="6" s="1"/>
  <c r="F30" i="6" s="1"/>
  <c r="H30" i="6" s="1"/>
  <c r="B55" i="5"/>
  <c r="J30" i="6" l="1"/>
  <c r="G31" i="6"/>
  <c r="C55" i="5"/>
  <c r="B31" i="6" s="1" a="1"/>
  <c r="B31" i="6" s="1"/>
  <c r="C31" i="6" s="1"/>
  <c r="I31" i="6" s="1"/>
  <c r="M2" i="6" s="1"/>
  <c r="M6" i="6" s="1"/>
  <c r="B56" i="5"/>
  <c r="C56" i="5" s="1"/>
  <c r="E7" i="5" l="1"/>
  <c r="E37" i="5"/>
  <c r="E24" i="5"/>
  <c r="E22" i="5"/>
  <c r="E45" i="5"/>
  <c r="E15" i="5"/>
  <c r="E34" i="5"/>
  <c r="E43" i="5"/>
  <c r="E48" i="5"/>
  <c r="E40" i="5"/>
  <c r="E49" i="5"/>
  <c r="E51" i="5"/>
  <c r="E17" i="5"/>
  <c r="E47" i="5"/>
  <c r="E20" i="5"/>
  <c r="E14" i="5"/>
  <c r="E55" i="5"/>
  <c r="E54" i="5"/>
  <c r="E50" i="5"/>
  <c r="E9" i="5"/>
  <c r="E18" i="5"/>
  <c r="E35" i="5"/>
  <c r="E44" i="5"/>
  <c r="E19" i="5"/>
  <c r="E16" i="5"/>
  <c r="E26" i="5"/>
  <c r="E38" i="5"/>
  <c r="E41" i="5"/>
  <c r="E25" i="5"/>
  <c r="E39" i="5"/>
  <c r="E53" i="5"/>
  <c r="E27" i="5"/>
  <c r="E8" i="5"/>
  <c r="E12" i="5"/>
  <c r="E42" i="5"/>
  <c r="E36" i="5"/>
  <c r="E31" i="5"/>
  <c r="E56" i="5"/>
  <c r="E46" i="5"/>
  <c r="E23" i="5"/>
  <c r="E21" i="5"/>
  <c r="E13" i="5"/>
  <c r="E52" i="5"/>
  <c r="E28" i="5"/>
  <c r="E10" i="5"/>
  <c r="E33" i="5"/>
  <c r="E30" i="5"/>
  <c r="E29" i="5"/>
  <c r="E11" i="5"/>
  <c r="E32" i="5"/>
  <c r="E31" i="6" a="1"/>
  <c r="E31" i="6" s="1"/>
  <c r="F31" i="6" s="1"/>
  <c r="H31" i="6" l="1"/>
  <c r="J31" i="6" s="1"/>
  <c r="M7" i="6" s="1"/>
  <c r="H46" i="5"/>
  <c r="G46" i="5"/>
  <c r="J46" i="5" s="1"/>
  <c r="G53" i="5"/>
  <c r="H53" i="5"/>
  <c r="H44" i="5"/>
  <c r="G44" i="5"/>
  <c r="H20" i="5"/>
  <c r="G20" i="5"/>
  <c r="G34" i="5"/>
  <c r="H34" i="5"/>
  <c r="H33" i="5"/>
  <c r="G33" i="5"/>
  <c r="H56" i="5"/>
  <c r="G56" i="5"/>
  <c r="G39" i="5"/>
  <c r="H39" i="5"/>
  <c r="G35" i="5"/>
  <c r="H35" i="5"/>
  <c r="G47" i="5"/>
  <c r="H47" i="5"/>
  <c r="G15" i="5"/>
  <c r="H15" i="5"/>
  <c r="H10" i="5"/>
  <c r="G10" i="5"/>
  <c r="G31" i="5"/>
  <c r="H31" i="5"/>
  <c r="H25" i="5"/>
  <c r="G25" i="5"/>
  <c r="G18" i="5"/>
  <c r="H18" i="5"/>
  <c r="H17" i="5"/>
  <c r="G17" i="5"/>
  <c r="G45" i="5"/>
  <c r="H45" i="5"/>
  <c r="G28" i="5"/>
  <c r="H28" i="5"/>
  <c r="H36" i="5"/>
  <c r="G36" i="5"/>
  <c r="H41" i="5"/>
  <c r="G41" i="5"/>
  <c r="G9" i="5"/>
  <c r="H9" i="5"/>
  <c r="H51" i="5"/>
  <c r="G51" i="5"/>
  <c r="G22" i="5"/>
  <c r="H22" i="5"/>
  <c r="H42" i="5"/>
  <c r="G42" i="5"/>
  <c r="G38" i="5"/>
  <c r="H38" i="5"/>
  <c r="G50" i="5"/>
  <c r="H50" i="5"/>
  <c r="G49" i="5"/>
  <c r="H49" i="5"/>
  <c r="G24" i="5"/>
  <c r="H24" i="5"/>
  <c r="G13" i="5"/>
  <c r="H13" i="5"/>
  <c r="H12" i="5"/>
  <c r="G12" i="5"/>
  <c r="J12" i="5" s="1"/>
  <c r="H26" i="5"/>
  <c r="G26" i="5"/>
  <c r="G54" i="5"/>
  <c r="H54" i="5"/>
  <c r="H40" i="5"/>
  <c r="G40" i="5"/>
  <c r="G37" i="5"/>
  <c r="H37" i="5"/>
  <c r="H52" i="5"/>
  <c r="G52" i="5"/>
  <c r="G32" i="5"/>
  <c r="H32" i="5"/>
  <c r="H11" i="5"/>
  <c r="G11" i="5"/>
  <c r="H21" i="5"/>
  <c r="G21" i="5"/>
  <c r="J21" i="5" s="1"/>
  <c r="H8" i="5"/>
  <c r="G8" i="5"/>
  <c r="G16" i="5"/>
  <c r="H16" i="5"/>
  <c r="G55" i="5"/>
  <c r="H55" i="5"/>
  <c r="H48" i="5"/>
  <c r="G48" i="5"/>
  <c r="J48" i="5" s="1"/>
  <c r="G7" i="5"/>
  <c r="H7" i="5"/>
  <c r="H30" i="5"/>
  <c r="G30" i="5"/>
  <c r="H29" i="5"/>
  <c r="G29" i="5"/>
  <c r="H23" i="5"/>
  <c r="G23" i="5"/>
  <c r="J23" i="5" s="1"/>
  <c r="H27" i="5"/>
  <c r="G27" i="5"/>
  <c r="G19" i="5"/>
  <c r="H19" i="5"/>
  <c r="G14" i="5"/>
  <c r="H14" i="5"/>
  <c r="G43" i="5"/>
  <c r="H43" i="5"/>
  <c r="J33" i="5" l="1"/>
  <c r="J27" i="5"/>
  <c r="J55" i="5"/>
  <c r="J14" i="5"/>
  <c r="J8" i="5"/>
  <c r="J52" i="5"/>
  <c r="J26" i="5"/>
  <c r="J13" i="5"/>
  <c r="J36" i="5"/>
  <c r="J56" i="5"/>
  <c r="J44" i="5"/>
  <c r="J38" i="5"/>
  <c r="J30" i="5"/>
  <c r="J9" i="5"/>
  <c r="J45" i="5"/>
  <c r="J31" i="5"/>
  <c r="J39" i="5"/>
  <c r="J28" i="5"/>
  <c r="J53" i="5"/>
  <c r="J35" i="5"/>
  <c r="J42" i="5"/>
  <c r="J41" i="5"/>
  <c r="J17" i="5"/>
  <c r="J10" i="5"/>
  <c r="J20" i="5"/>
  <c r="J16" i="5"/>
  <c r="J32" i="5"/>
  <c r="J19" i="5"/>
  <c r="J18" i="5"/>
  <c r="J15" i="5"/>
  <c r="J7" i="5"/>
  <c r="J49" i="5"/>
  <c r="J51" i="5"/>
  <c r="J25" i="5"/>
  <c r="J50" i="5"/>
  <c r="J47" i="5"/>
  <c r="J54" i="5"/>
  <c r="J43" i="5"/>
  <c r="J37" i="5"/>
  <c r="J29" i="5"/>
  <c r="J11" i="5"/>
  <c r="J40" i="5"/>
  <c r="J24" i="5"/>
  <c r="J22" i="5"/>
  <c r="J34" i="5"/>
  <c r="L7" i="5" l="1"/>
  <c r="L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<sst xmlns="http://schemas.openxmlformats.org/spreadsheetml/2006/main" count="7089" uniqueCount="1099">
  <si>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</si>
  <si>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</si>
  <si>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</si>
  <si>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</si>
  <si>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</si>
  <si>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</si>
  <si>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</si>
  <si>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</si>
  <si>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</si>
  <si>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</si>
  <si>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</si>
  <si>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</si>
  <si>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</si>
  <si>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</si>
  <si>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</si>
  <si>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</si>
  <si>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</si>
  <si>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</si>
  <si>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</si>
  <si>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</si>
  <si>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</si>
  <si>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</si>
  <si>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</si>
  <si>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</si>
  <si>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</si>
  <si>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</si>
  <si>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</si>
  <si>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</si>
  <si>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</si>
  <si>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</si>
  <si>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</si>
  <si>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</si>
  <si>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</si>
  <si>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</si>
  <si>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</si>
  <si>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</si>
  <si>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</si>
  <si>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</si>
  <si>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</si>
  <si>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</si>
  <si>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</si>
  <si>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</si>
  <si>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</si>
  <si>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</si>
  <si>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</si>
  <si>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</si>
  <si>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</si>
  <si>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</si>
  <si>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</si>
  <si>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</si>
  <si>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</si>
  <si>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</si>
  <si>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</si>
  <si>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</si>
  <si>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</si>
  <si>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</si>
  <si>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</si>
  <si>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</si>
  <si>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</si>
  <si>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</si>
  <si>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</si>
  <si>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</si>
  <si>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</si>
  <si>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</si>
  <si>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</si>
  <si>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</si>
  <si>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</si>
  <si>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</si>
  <si>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</si>
  <si>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</si>
  <si>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</si>
  <si>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</si>
  <si>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</si>
  <si>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</si>
  <si>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</si>
  <si>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</si>
  <si>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</si>
  <si>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</si>
  <si>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</si>
  <si>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</si>
  <si>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</si>
  <si>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</si>
  <si>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</si>
  <si>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</si>
  <si>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</si>
  <si>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</si>
  <si>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</si>
  <si>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</si>
  <si>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</si>
  <si>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</si>
  <si>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</si>
  <si>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</si>
  <si>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</si>
  <si>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</si>
  <si>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</si>
  <si>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</si>
  <si>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</si>
  <si>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</si>
  <si>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</si>
  <si>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</si>
  <si>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</si>
  <si>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</si>
  <si>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</si>
  <si>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</si>
  <si>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</si>
  <si>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</si>
  <si>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</si>
  <si>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</si>
  <si>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</si>
  <si>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</si>
  <si>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</si>
  <si>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</si>
  <si>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</si>
  <si>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</si>
  <si>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</si>
  <si>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</si>
  <si>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</si>
  <si>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</si>
  <si>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</si>
  <si>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</si>
  <si>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</si>
  <si>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</si>
  <si>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</si>
  <si>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</si>
  <si>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</si>
  <si>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</si>
  <si>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</si>
  <si>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</si>
  <si>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</si>
  <si>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</si>
  <si>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</si>
  <si>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</si>
  <si>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</si>
  <si>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</si>
  <si>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</si>
  <si>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</si>
  <si>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</si>
  <si>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</si>
  <si>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</si>
  <si>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</si>
  <si>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</si>
  <si>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</si>
  <si>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</si>
  <si>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</si>
  <si>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</si>
  <si>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</si>
  <si>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</si>
  <si>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</si>
  <si>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</si>
  <si>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</si>
  <si>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</si>
  <si>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</si>
  <si>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</si>
  <si>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</si>
  <si>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</si>
  <si>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</si>
  <si>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</si>
  <si>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</si>
  <si>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</si>
  <si>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</si>
  <si>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</si>
  <si>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</si>
  <si>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</si>
  <si>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</si>
  <si>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</si>
  <si>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</si>
  <si>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</si>
  <si>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</si>
  <si>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</si>
  <si>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</si>
  <si>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</si>
  <si>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</si>
  <si>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</si>
  <si>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</si>
  <si>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</si>
  <si>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</si>
  <si>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</si>
  <si>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</si>
  <si>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</si>
  <si>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</si>
  <si>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</si>
  <si>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</si>
  <si>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</si>
  <si>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</si>
  <si>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</si>
  <si>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</si>
  <si>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</si>
  <si>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</si>
  <si>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</si>
  <si>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</si>
  <si>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</si>
  <si>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</si>
  <si>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</si>
  <si>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</si>
  <si>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</si>
  <si>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</si>
  <si>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</si>
  <si>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</si>
  <si>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</si>
  <si>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</si>
  <si>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</si>
  <si>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</si>
  <si>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</si>
  <si>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</si>
  <si>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</si>
  <si>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</si>
  <si>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</si>
  <si>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</si>
  <si>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</si>
  <si>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</si>
  <si>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</si>
  <si>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</si>
  <si>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</si>
  <si>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</si>
  <si>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</si>
  <si>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</si>
  <si>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</si>
  <si>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</si>
  <si>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</si>
  <si>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</si>
  <si>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</si>
  <si>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</si>
  <si>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</si>
  <si>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</si>
  <si>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</si>
  <si>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</si>
  <si>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</si>
  <si>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</si>
  <si>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</si>
  <si>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</si>
  <si>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</si>
  <si>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</si>
  <si>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</si>
  <si>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</si>
  <si>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</si>
  <si>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</si>
  <si>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</si>
  <si>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</si>
  <si>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</si>
  <si>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</si>
  <si>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</si>
  <si>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</si>
  <si>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</si>
  <si>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</si>
  <si>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</si>
  <si>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</si>
  <si>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</si>
  <si>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</si>
  <si>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</si>
  <si>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</si>
  <si>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</si>
  <si>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</si>
  <si>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</si>
  <si>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</si>
  <si>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</si>
  <si>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</si>
  <si>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</si>
  <si>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</si>
  <si>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</si>
  <si>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</si>
  <si>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</si>
  <si>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</si>
  <si>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</si>
  <si>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</si>
  <si>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</si>
  <si>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</si>
  <si>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</si>
  <si>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</si>
  <si>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</si>
  <si>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</si>
  <si>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</si>
  <si>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</si>
  <si>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</si>
  <si>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</si>
  <si>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</si>
  <si>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</si>
  <si>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</si>
  <si>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</si>
  <si>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</si>
  <si>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</si>
  <si>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</si>
  <si>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</si>
  <si>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</si>
  <si>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</si>
  <si>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</si>
  <si>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</si>
  <si>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</si>
  <si>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</si>
  <si>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</si>
  <si>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</si>
  <si>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</si>
  <si>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</si>
  <si>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</si>
  <si>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</si>
  <si>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</si>
  <si>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</si>
  <si>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</si>
  <si>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</si>
  <si>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</si>
  <si>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</si>
  <si>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</si>
  <si>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</si>
  <si>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</si>
  <si>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</si>
  <si>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</si>
  <si>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</si>
  <si>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</si>
  <si>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</si>
  <si>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</si>
  <si>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</si>
  <si>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</si>
  <si>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</si>
  <si>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</si>
  <si>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</si>
  <si>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</si>
  <si>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</si>
  <si>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</si>
  <si>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</si>
  <si>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</si>
  <si>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</si>
  <si>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</si>
  <si>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</si>
  <si>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</si>
  <si>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</si>
  <si>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</si>
  <si>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</si>
  <si>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</si>
  <si>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</si>
  <si>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</si>
  <si>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</si>
  <si>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</si>
  <si>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</si>
  <si>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</si>
  <si>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</si>
  <si>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</si>
  <si>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</si>
  <si>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</si>
  <si>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</si>
  <si>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</si>
  <si>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</si>
  <si>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</si>
  <si>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</si>
  <si>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</si>
  <si>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</si>
  <si>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</si>
  <si>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</si>
  <si>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</si>
  <si>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</si>
  <si>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</si>
  <si>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</si>
  <si>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</si>
  <si>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</si>
  <si>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</si>
  <si>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</si>
  <si>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</si>
  <si>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</si>
  <si>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</si>
  <si>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</si>
  <si>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</si>
  <si>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</si>
  <si>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</si>
  <si>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</si>
  <si>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</si>
  <si>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</si>
  <si>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</si>
  <si>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</si>
  <si>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</si>
  <si>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</si>
  <si>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</si>
  <si>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</si>
  <si>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</si>
  <si>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</si>
  <si>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</si>
  <si>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</si>
  <si>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</si>
  <si>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</si>
  <si>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</si>
  <si>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</si>
  <si>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</si>
  <si>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</si>
  <si>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</si>
  <si>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</si>
  <si>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</si>
  <si>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</si>
  <si>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</si>
  <si>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</si>
  <si>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</si>
  <si>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</si>
  <si>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</si>
  <si>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</si>
  <si>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</si>
  <si>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</si>
  <si>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</si>
  <si>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</si>
  <si>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</si>
  <si>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</si>
  <si>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</si>
  <si>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</si>
  <si>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</si>
  <si>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</si>
  <si>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</si>
  <si>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</si>
  <si>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</si>
  <si>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</si>
  <si>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</si>
  <si>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</si>
  <si>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</si>
  <si>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</si>
  <si>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</si>
  <si>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</si>
  <si>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</si>
  <si>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</si>
  <si>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</si>
  <si>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</si>
  <si>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</si>
  <si>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</si>
  <si>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</si>
  <si>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</si>
  <si>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</si>
  <si>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</si>
  <si>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</si>
  <si>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</si>
  <si>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</si>
  <si>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</si>
  <si>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</si>
  <si>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</si>
  <si>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</si>
  <si>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</si>
  <si>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</si>
  <si>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</si>
  <si>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</si>
  <si>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</si>
  <si>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</si>
  <si>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</si>
  <si>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</si>
  <si>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</si>
  <si>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</si>
  <si>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</si>
  <si>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</si>
  <si>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</si>
  <si>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</si>
  <si>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</si>
  <si>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</si>
  <si>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</si>
  <si>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</si>
  <si>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</si>
  <si>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</si>
  <si>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</si>
  <si>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</si>
  <si>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</si>
  <si>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</si>
  <si>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</si>
  <si>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</si>
  <si>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</si>
  <si>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</si>
  <si>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</si>
  <si>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</si>
  <si>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</si>
  <si>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</si>
  <si>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</si>
  <si>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</si>
  <si>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</si>
  <si>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</si>
  <si>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</si>
  <si>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</si>
  <si>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</si>
  <si>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</si>
  <si>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</si>
  <si>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</si>
  <si>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</si>
  <si>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</si>
  <si>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</si>
  <si>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</si>
  <si>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</si>
  <si>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</si>
  <si>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</si>
  <si>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</si>
  <si>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</si>
  <si>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</si>
  <si>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</si>
  <si>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</si>
  <si>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</si>
  <si>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</si>
  <si>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</si>
  <si>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</si>
  <si>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</si>
  <si>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</si>
  <si>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</si>
  <si>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</si>
  <si>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</si>
  <si>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</si>
  <si>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</si>
  <si>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</si>
  <si>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</si>
  <si>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</si>
  <si>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</si>
  <si>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</si>
  <si>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</si>
  <si>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</si>
  <si>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</si>
  <si>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</si>
  <si>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</si>
  <si>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</si>
  <si>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</si>
  <si>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</si>
  <si>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</si>
  <si>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</si>
  <si>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</si>
  <si>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</si>
  <si>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</si>
  <si>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</si>
  <si>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</si>
  <si>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</si>
  <si>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</si>
  <si>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</si>
  <si>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</si>
  <si>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</si>
  <si>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</si>
  <si>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</si>
  <si>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</si>
  <si>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</si>
  <si>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</si>
  <si>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</si>
  <si>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</si>
  <si>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</si>
  <si>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</si>
  <si>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</si>
  <si>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</si>
  <si>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</si>
  <si>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</si>
  <si>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</si>
  <si>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</si>
  <si>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</si>
  <si>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</si>
  <si>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</si>
  <si>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</si>
  <si>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</si>
  <si>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</si>
  <si>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</si>
  <si>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</si>
  <si>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</si>
  <si>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</si>
  <si>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</si>
  <si>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</si>
  <si>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</si>
  <si>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</si>
  <si>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</si>
  <si>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</si>
  <si>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</si>
  <si>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</si>
  <si>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</si>
  <si>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</si>
  <si>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</si>
  <si>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</si>
  <si>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</si>
  <si>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</si>
  <si>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</si>
  <si>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</si>
  <si>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</si>
  <si>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</si>
  <si>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</si>
  <si>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</si>
  <si>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</si>
  <si>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</si>
  <si>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</si>
  <si>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</si>
  <si>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</si>
  <si>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</si>
  <si>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</si>
  <si>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</si>
  <si>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</si>
  <si>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</si>
  <si>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</si>
  <si>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</si>
  <si>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</si>
  <si>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</si>
  <si>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</si>
  <si>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</si>
  <si>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</si>
  <si>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</si>
  <si>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</si>
  <si>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</si>
  <si>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</si>
  <si>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</si>
  <si>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</si>
  <si>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</si>
  <si>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</si>
  <si>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</si>
  <si>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</si>
  <si>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</si>
  <si>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</si>
  <si>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</si>
  <si>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</si>
  <si>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</si>
  <si>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</si>
  <si>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</si>
  <si>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</si>
  <si>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</si>
  <si>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</si>
  <si>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</si>
  <si>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</si>
  <si>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</si>
  <si>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</si>
  <si>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</si>
  <si>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</si>
  <si>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</si>
  <si>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</si>
  <si>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</si>
  <si>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</si>
  <si>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</si>
  <si>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</si>
  <si>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</si>
  <si>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</si>
  <si>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</si>
  <si>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</si>
  <si>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</si>
  <si>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</si>
  <si>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</si>
  <si>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</si>
  <si>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</si>
  <si>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</si>
  <si>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</si>
  <si>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</si>
  <si>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</si>
  <si>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</si>
  <si>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</si>
  <si>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</si>
  <si>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</si>
  <si>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</si>
  <si>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</si>
  <si>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</si>
  <si>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</si>
  <si>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</si>
  <si>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</si>
  <si>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</si>
  <si>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</si>
  <si>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</si>
  <si>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</si>
  <si>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</si>
  <si>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</si>
  <si>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</si>
  <si>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</si>
  <si>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</si>
  <si>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</si>
  <si>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</si>
  <si>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</si>
  <si>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</si>
  <si>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</si>
  <si>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</si>
  <si>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</si>
  <si>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</si>
  <si>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</si>
  <si>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</si>
  <si>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</si>
  <si>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</si>
  <si>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</si>
  <si>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</si>
  <si>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</si>
  <si>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</si>
  <si>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</si>
  <si>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</si>
  <si>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</si>
  <si>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</si>
  <si>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</si>
  <si>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</si>
  <si>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</si>
  <si>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</si>
  <si>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</si>
  <si>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</si>
  <si>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</si>
  <si>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</si>
  <si>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</si>
  <si>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</si>
  <si>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</si>
  <si>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</si>
  <si>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</si>
  <si>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</si>
  <si>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</si>
  <si>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</si>
  <si>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</si>
  <si>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</si>
  <si>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</si>
  <si>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</si>
  <si>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</si>
  <si>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</si>
  <si>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</si>
  <si>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</si>
  <si>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</si>
  <si>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</si>
  <si>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</si>
  <si>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</si>
  <si>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</si>
  <si>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</si>
  <si>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</si>
  <si>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</si>
  <si>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</si>
  <si>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</si>
  <si>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</si>
  <si>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</si>
  <si>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</si>
  <si>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</si>
  <si>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</si>
  <si>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</si>
  <si>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</si>
  <si>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</si>
  <si>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</si>
  <si>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</si>
  <si>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</si>
  <si>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</si>
  <si>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</si>
  <si>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</si>
  <si>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</si>
  <si>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</si>
  <si>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</si>
  <si>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</si>
  <si>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</si>
  <si>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</si>
  <si>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</si>
  <si>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</si>
  <si>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</si>
  <si>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</si>
  <si>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</si>
  <si>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</si>
  <si>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</si>
  <si>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</si>
  <si>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</si>
  <si>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</si>
  <si>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</si>
  <si>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</si>
  <si>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</si>
  <si>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</si>
  <si>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</si>
  <si>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</si>
  <si>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</si>
  <si>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</si>
  <si>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</si>
  <si>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</si>
  <si>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</si>
  <si>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</si>
  <si>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</si>
  <si>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</si>
  <si>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</si>
  <si>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</si>
  <si>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</si>
  <si>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</si>
  <si>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</si>
  <si>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</si>
  <si>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</si>
  <si>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</si>
  <si>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</si>
  <si>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</si>
  <si>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</si>
  <si>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</si>
  <si>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</si>
  <si>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</si>
  <si>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</si>
  <si>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</si>
  <si>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</si>
  <si>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</si>
  <si>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</si>
  <si>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</si>
  <si>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</si>
  <si>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</si>
  <si>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</si>
  <si>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</si>
  <si>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</si>
  <si>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</si>
  <si>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</si>
  <si>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</si>
  <si>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</si>
  <si>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</si>
  <si>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</si>
  <si>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</si>
  <si>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</si>
  <si>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</si>
  <si>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</si>
  <si>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</si>
  <si>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</si>
  <si>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</si>
  <si>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</si>
  <si>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</si>
  <si>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</si>
  <si>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</si>
  <si>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</si>
  <si>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</si>
  <si>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</si>
  <si>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</si>
  <si>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</si>
  <si>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</si>
  <si>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</si>
  <si>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</si>
  <si>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</si>
  <si>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</si>
  <si>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</si>
  <si>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</si>
  <si>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</si>
  <si>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</si>
  <si>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</si>
  <si>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</si>
  <si>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</si>
  <si>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</si>
  <si>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</si>
  <si>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</si>
  <si>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</si>
  <si>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</si>
  <si>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</si>
  <si>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</si>
  <si>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</si>
  <si>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</si>
  <si>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</si>
  <si>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</si>
  <si>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</si>
  <si>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</si>
  <si>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</si>
  <si>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</si>
  <si>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</si>
  <si>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</si>
  <si>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</si>
  <si>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</si>
  <si>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</si>
  <si>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</si>
  <si>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</si>
  <si>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</si>
  <si>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</si>
  <si>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</si>
  <si>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</si>
  <si>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</si>
  <si>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</si>
  <si>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</si>
  <si>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</si>
  <si>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</si>
  <si>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</si>
  <si>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</si>
  <si>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</si>
  <si>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</si>
  <si>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</si>
  <si>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</si>
  <si>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</si>
  <si>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</si>
  <si>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</si>
  <si>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</si>
  <si>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</si>
  <si>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</si>
  <si>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</si>
  <si>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</si>
  <si>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</si>
  <si>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</si>
  <si>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</si>
  <si>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</si>
  <si>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</si>
  <si>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</si>
  <si>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</si>
  <si>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</si>
  <si>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</si>
  <si>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</si>
  <si>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</si>
  <si>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</si>
  <si>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</si>
  <si>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</si>
  <si>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</si>
  <si>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</si>
  <si>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</si>
  <si>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</si>
  <si>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</si>
  <si>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</si>
  <si>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</si>
  <si>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</si>
  <si>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</si>
  <si>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</si>
  <si>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</si>
  <si>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</si>
  <si>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</si>
  <si>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</si>
  <si>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</si>
  <si>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</si>
  <si>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</si>
  <si>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</si>
  <si>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</si>
  <si>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</si>
  <si>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</si>
  <si>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</si>
  <si>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</si>
  <si>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</si>
  <si>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</si>
  <si>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</si>
  <si>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</si>
  <si>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</si>
  <si>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</si>
  <si>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</si>
  <si>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</si>
  <si>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</si>
  <si>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</si>
  <si>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</si>
  <si>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</si>
  <si>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</si>
  <si>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</si>
  <si>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</si>
  <si>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</si>
  <si>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</si>
  <si>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</si>
  <si>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</si>
  <si>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</si>
  <si>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</si>
  <si>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</si>
  <si>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</si>
  <si>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</si>
  <si>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</si>
  <si>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</si>
  <si>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</si>
  <si>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</si>
  <si>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</si>
  <si>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</si>
  <si>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</si>
  <si>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</si>
  <si>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</si>
  <si>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</si>
  <si>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</si>
  <si>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</si>
  <si>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</si>
  <si>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</si>
  <si>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</si>
  <si>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</si>
  <si>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</si>
  <si>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</si>
  <si>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</si>
  <si>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</si>
  <si>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</si>
  <si>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</si>
  <si>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</si>
  <si>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</si>
  <si>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</si>
  <si>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</si>
  <si>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</si>
  <si>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</si>
  <si>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</si>
  <si>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</si>
  <si>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</si>
  <si>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</si>
  <si>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</si>
  <si>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</si>
  <si>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</si>
  <si>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</si>
  <si>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</si>
  <si>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</si>
  <si>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</si>
  <si>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</si>
  <si>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</si>
  <si>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</si>
  <si>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</si>
  <si>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</si>
  <si>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</si>
  <si>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</si>
  <si>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</si>
  <si>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</si>
  <si>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</si>
  <si>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</si>
  <si>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</si>
  <si>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</si>
  <si>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</si>
  <si>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</si>
  <si>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</si>
  <si>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</si>
  <si>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</si>
  <si>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</si>
  <si>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</si>
  <si>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</si>
  <si>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</si>
  <si>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</si>
  <si>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</si>
  <si>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</si>
  <si>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</si>
  <si>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</si>
  <si>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</si>
  <si>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</si>
  <si>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</si>
  <si>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</si>
  <si>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</si>
  <si>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</si>
  <si>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</si>
  <si>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</si>
  <si>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</si>
  <si>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</si>
  <si>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</si>
  <si>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</si>
  <si>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</si>
  <si>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</si>
  <si>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</si>
  <si>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</si>
  <si>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</si>
  <si>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</si>
  <si>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</si>
  <si>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</si>
  <si>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</si>
  <si>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</si>
  <si>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</si>
  <si>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</si>
  <si>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</si>
  <si>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</si>
  <si>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</si>
  <si>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</si>
  <si>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</si>
  <si>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</si>
  <si>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</si>
  <si>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</si>
  <si>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</si>
  <si>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</si>
  <si>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</si>
  <si>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</si>
  <si>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</si>
  <si>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</si>
  <si>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</si>
  <si>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</si>
  <si>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</si>
  <si>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</si>
  <si>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</si>
  <si>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</si>
  <si>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</si>
  <si>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</si>
  <si>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</si>
  <si>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</si>
  <si>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</si>
  <si>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</si>
  <si>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</si>
  <si>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</si>
  <si>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</si>
  <si>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</si>
  <si>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</si>
  <si>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</si>
  <si>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</si>
  <si>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</si>
  <si>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</si>
  <si>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</si>
  <si>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</si>
  <si>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</si>
  <si>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</si>
  <si>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</si>
  <si>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DateTime</t>
  </si>
  <si>
    <t>Interarrival_Min</t>
  </si>
  <si>
    <t>IA_Clean</t>
  </si>
  <si>
    <t>ortalama</t>
  </si>
  <si>
    <t>standart sapma</t>
  </si>
  <si>
    <t>Bin</t>
  </si>
  <si>
    <t>Diğer</t>
  </si>
  <si>
    <t>Frekans</t>
  </si>
  <si>
    <t>Kümülatif %</t>
  </si>
  <si>
    <t>Ortalama</t>
  </si>
  <si>
    <t>Lambda</t>
  </si>
  <si>
    <t>Alt (a)</t>
  </si>
  <si>
    <t>Üst (b)</t>
  </si>
  <si>
    <t>Oi (Gözlenen)</t>
  </si>
  <si>
    <t>Pi (Olasılık)</t>
  </si>
  <si>
    <t>Ei (Beklenen)</t>
  </si>
  <si>
    <t>(Oi−Ei)^2/Ei</t>
  </si>
  <si>
    <t>n</t>
  </si>
  <si>
    <t>Ki-kare (χ²)</t>
  </si>
  <si>
    <t>k</t>
  </si>
  <si>
    <t>df</t>
  </si>
  <si>
    <t>Kritik χ² (0,05)</t>
  </si>
  <si>
    <t>Karar</t>
  </si>
  <si>
    <t>m</t>
  </si>
  <si>
    <t>a</t>
  </si>
  <si>
    <t>c</t>
  </si>
  <si>
    <t>X0 (seed)</t>
  </si>
  <si>
    <t>i</t>
  </si>
  <si>
    <t>Xi</t>
  </si>
  <si>
    <t>Ui = Xi/m</t>
  </si>
  <si>
    <t>U (sorted)</t>
  </si>
  <si>
    <t>D+ = i/n - Ui</t>
  </si>
  <si>
    <t>D-</t>
  </si>
  <si>
    <t>D</t>
  </si>
  <si>
    <t>Dmax</t>
  </si>
  <si>
    <t>Dkritik (0.05)</t>
  </si>
  <si>
    <t>Lambda (geliş)</t>
  </si>
  <si>
    <t>Mu (hizmet)</t>
  </si>
  <si>
    <t>müşteri no</t>
  </si>
  <si>
    <t>U_arr</t>
  </si>
  <si>
    <t>geliş için uniform</t>
  </si>
  <si>
    <t>Interarrival (dk)</t>
  </si>
  <si>
    <t>−ln(U)/λ</t>
  </si>
  <si>
    <t>Arrival time</t>
  </si>
  <si>
    <t>geliş zamanı (kümülatif)</t>
  </si>
  <si>
    <t>U_srv</t>
  </si>
  <si>
    <t>hizmet için uniform</t>
  </si>
  <si>
    <t>Service time (dk)</t>
  </si>
  <si>
    <t>−ln(U)/μ</t>
  </si>
  <si>
    <t>Service start</t>
  </si>
  <si>
    <t>hizmet başlama zamanı</t>
  </si>
  <si>
    <t>Service end</t>
  </si>
  <si>
    <t>bitiş zamanı</t>
  </si>
  <si>
    <t>Waiting (dk)</t>
  </si>
  <si>
    <t>kuyruk bekleme</t>
  </si>
  <si>
    <t>System time (dk)</t>
  </si>
  <si>
    <t>sistemde kalma</t>
  </si>
  <si>
    <t>Ortalama Bekleme (Wq)</t>
  </si>
  <si>
    <t>Ortalama Sistem Süresi (W)</t>
  </si>
  <si>
    <t>Ortalama Servis Süresi</t>
  </si>
  <si>
    <t>Kullanım oranı (ρ = λ/μ)</t>
  </si>
  <si>
    <t>Ortalama Kuyruk Uzunluğu (Lq)</t>
  </si>
  <si>
    <t>Ortalama Sistem Müşteri Sayısı (L) (L≈λ⋅W)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</si>
</sst>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9" fillId="0" borderId="0" xfId="0" applyFont="1"/>
    <xf numFmtId="0" fontId="0" fillId="0" borderId="0" xfId="0" applyAlignment="1">
      <alignment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Frekans</c:v>
          </c:tx>
          <c:invertIfNegative val="0"/>
          <c:cat>
            <c:strRef>
              <c:f>'Histogram Analizi'!$A$2:$A$1026</c:f>
              <c:strCache>
                <c:ptCount val="1025"/>
                <c:pt idx="0">
                  <c:v>0</c:v>
                </c:pt>
                <c:pt idx="1">
                  <c:v>0.545898438</c:v>
                </c:pt>
                <c:pt idx="2">
                  <c:v>1.091796875</c:v>
                </c:pt>
                <c:pt idx="3">
                  <c:v>1.637695313</c:v>
                </c:pt>
                <c:pt idx="4">
                  <c:v>2.18359375</c:v>
                </c:pt>
                <c:pt idx="5">
                  <c:v>2.729492188</c:v>
                </c:pt>
                <c:pt idx="6">
                  <c:v>3.275390625</c:v>
                </c:pt>
                <c:pt idx="7">
                  <c:v>3.821289063</c:v>
                </c:pt>
                <c:pt idx="8">
                  <c:v>4.3671875</c:v>
                </c:pt>
                <c:pt idx="9">
                  <c:v>4.913085938</c:v>
                </c:pt>
                <c:pt idx="10">
                  <c:v>5.458984375</c:v>
                </c:pt>
                <c:pt idx="11">
                  <c:v>6.004882813</c:v>
                </c:pt>
                <c:pt idx="12">
                  <c:v>6.55078125</c:v>
                </c:pt>
                <c:pt idx="13">
                  <c:v>7.096679688</c:v>
                </c:pt>
                <c:pt idx="14">
                  <c:v>7.642578125</c:v>
                </c:pt>
                <c:pt idx="15">
                  <c:v>8.188476563</c:v>
                </c:pt>
                <c:pt idx="16">
                  <c:v>8.734375</c:v>
                </c:pt>
                <c:pt idx="17">
                  <c:v>9.280273438</c:v>
                </c:pt>
                <c:pt idx="18">
                  <c:v>9.826171875</c:v>
                </c:pt>
                <c:pt idx="19">
                  <c:v>10.37207031</c:v>
                </c:pt>
                <c:pt idx="20">
                  <c:v>10.91796875</c:v>
                </c:pt>
                <c:pt idx="21">
                  <c:v>11.46386719</c:v>
                </c:pt>
                <c:pt idx="22">
                  <c:v>12.00976563</c:v>
                </c:pt>
                <c:pt idx="23">
                  <c:v>12.55566406</c:v>
                </c:pt>
                <c:pt idx="24">
                  <c:v>13.1015625</c:v>
                </c:pt>
                <c:pt idx="25">
                  <c:v>13.64746094</c:v>
                </c:pt>
                <c:pt idx="26">
                  <c:v>14.19335938</c:v>
                </c:pt>
                <c:pt idx="27">
                  <c:v>14.73925781</c:v>
                </c:pt>
                <c:pt idx="28">
                  <c:v>15.28515625</c:v>
                </c:pt>
                <c:pt idx="29">
                  <c:v>15.83105469</c:v>
                </c:pt>
                <c:pt idx="30">
                  <c:v>16.37695313</c:v>
                </c:pt>
                <c:pt idx="31">
                  <c:v>16.92285156</c:v>
                </c:pt>
                <c:pt idx="32">
                  <c:v>17.46875</c:v>
                </c:pt>
                <c:pt idx="33">
                  <c:v>18.01464844</c:v>
                </c:pt>
                <c:pt idx="34">
                  <c:v>18.56054688</c:v>
                </c:pt>
                <c:pt idx="35">
                  <c:v>19.10644531</c:v>
                </c:pt>
                <c:pt idx="36">
                  <c:v>19.65234375</c:v>
                </c:pt>
                <c:pt idx="37">
                  <c:v>20.19824219</c:v>
                </c:pt>
                <c:pt idx="38">
                  <c:v>20.74414063</c:v>
                </c:pt>
                <c:pt idx="39">
                  <c:v>21.29003906</c:v>
                </c:pt>
                <c:pt idx="40">
                  <c:v>21.8359375</c:v>
                </c:pt>
                <c:pt idx="41">
                  <c:v>22.38183594</c:v>
                </c:pt>
                <c:pt idx="42">
                  <c:v>22.92773438</c:v>
                </c:pt>
                <c:pt idx="43">
                  <c:v>23.47363281</c:v>
                </c:pt>
                <c:pt idx="44">
                  <c:v>24.01953125</c:v>
                </c:pt>
                <c:pt idx="45">
                  <c:v>24.56542969</c:v>
                </c:pt>
                <c:pt idx="46">
                  <c:v>25.11132813</c:v>
                </c:pt>
                <c:pt idx="47">
                  <c:v>25.65722656</c:v>
                </c:pt>
                <c:pt idx="48">
                  <c:v>26.203125</c:v>
                </c:pt>
                <c:pt idx="49">
                  <c:v>26.74902344</c:v>
                </c:pt>
                <c:pt idx="50">
                  <c:v>27.29492188</c:v>
                </c:pt>
                <c:pt idx="51">
                  <c:v>27.84082031</c:v>
                </c:pt>
                <c:pt idx="52">
                  <c:v>28.38671875</c:v>
                </c:pt>
                <c:pt idx="53">
                  <c:v>28.93261719</c:v>
                </c:pt>
                <c:pt idx="54">
                  <c:v>29.47851563</c:v>
                </c:pt>
                <c:pt idx="55">
                  <c:v>30.02441406</c:v>
                </c:pt>
                <c:pt idx="56">
                  <c:v>30.5703125</c:v>
                </c:pt>
                <c:pt idx="57">
                  <c:v>31.11621094</c:v>
                </c:pt>
                <c:pt idx="58">
                  <c:v>31.66210938</c:v>
                </c:pt>
                <c:pt idx="59">
                  <c:v>32.20800781</c:v>
                </c:pt>
                <c:pt idx="60">
                  <c:v>32.75390625</c:v>
                </c:pt>
                <c:pt idx="61">
                  <c:v>33.29980469</c:v>
                </c:pt>
                <c:pt idx="62">
                  <c:v>33.84570313</c:v>
                </c:pt>
                <c:pt idx="63">
                  <c:v>34.39160156</c:v>
                </c:pt>
                <c:pt idx="64">
                  <c:v>34.9375</c:v>
                </c:pt>
                <c:pt idx="65">
                  <c:v>35.48339844</c:v>
                </c:pt>
                <c:pt idx="66">
                  <c:v>36.02929688</c:v>
                </c:pt>
                <c:pt idx="67">
                  <c:v>36.57519531</c:v>
                </c:pt>
                <c:pt idx="68">
                  <c:v>37.12109375</c:v>
                </c:pt>
                <c:pt idx="69">
                  <c:v>37.66699219</c:v>
                </c:pt>
                <c:pt idx="70">
                  <c:v>38.21289063</c:v>
                </c:pt>
                <c:pt idx="71">
                  <c:v>38.75878906</c:v>
                </c:pt>
                <c:pt idx="72">
                  <c:v>39.3046875</c:v>
                </c:pt>
                <c:pt idx="73">
                  <c:v>39.85058594</c:v>
                </c:pt>
                <c:pt idx="74">
                  <c:v>40.39648438</c:v>
                </c:pt>
                <c:pt idx="75">
                  <c:v>40.94238281</c:v>
                </c:pt>
                <c:pt idx="76">
                  <c:v>41.48828125</c:v>
                </c:pt>
                <c:pt idx="77">
                  <c:v>42.03417969</c:v>
                </c:pt>
                <c:pt idx="78">
                  <c:v>42.58007813</c:v>
                </c:pt>
                <c:pt idx="79">
                  <c:v>43.12597656</c:v>
                </c:pt>
                <c:pt idx="80">
                  <c:v>43.671875</c:v>
                </c:pt>
                <c:pt idx="81">
                  <c:v>44.21777344</c:v>
                </c:pt>
                <c:pt idx="82">
                  <c:v>44.76367188</c:v>
                </c:pt>
                <c:pt idx="83">
                  <c:v>45.30957031</c:v>
                </c:pt>
                <c:pt idx="84">
                  <c:v>45.85546875</c:v>
                </c:pt>
                <c:pt idx="85">
                  <c:v>46.40136719</c:v>
                </c:pt>
                <c:pt idx="86">
                  <c:v>46.94726563</c:v>
                </c:pt>
                <c:pt idx="87">
                  <c:v>47.49316406</c:v>
                </c:pt>
                <c:pt idx="88">
                  <c:v>48.0390625</c:v>
                </c:pt>
                <c:pt idx="89">
                  <c:v>48.58496094</c:v>
                </c:pt>
                <c:pt idx="90">
                  <c:v>49.13085938</c:v>
                </c:pt>
                <c:pt idx="91">
                  <c:v>49.67675781</c:v>
                </c:pt>
                <c:pt idx="92">
                  <c:v>50.22265625</c:v>
                </c:pt>
                <c:pt idx="93">
                  <c:v>50.76855469</c:v>
                </c:pt>
                <c:pt idx="94">
                  <c:v>51.31445313</c:v>
                </c:pt>
                <c:pt idx="95">
                  <c:v>51.86035156</c:v>
                </c:pt>
                <c:pt idx="96">
                  <c:v>52.40625</c:v>
                </c:pt>
                <c:pt idx="97">
                  <c:v>52.95214844</c:v>
                </c:pt>
                <c:pt idx="98">
                  <c:v>53.49804688</c:v>
                </c:pt>
                <c:pt idx="99">
                  <c:v>54.04394531</c:v>
                </c:pt>
                <c:pt idx="100">
                  <c:v>54.58984375</c:v>
                </c:pt>
                <c:pt idx="101">
                  <c:v>55.13574219</c:v>
                </c:pt>
                <c:pt idx="102">
                  <c:v>55.68164063</c:v>
                </c:pt>
                <c:pt idx="103">
                  <c:v>56.22753906</c:v>
                </c:pt>
                <c:pt idx="104">
                  <c:v>56.7734375</c:v>
                </c:pt>
                <c:pt idx="105">
                  <c:v>57.31933594</c:v>
                </c:pt>
                <c:pt idx="106">
                  <c:v>57.86523438</c:v>
                </c:pt>
                <c:pt idx="107">
                  <c:v>58.41113281</c:v>
                </c:pt>
                <c:pt idx="108">
                  <c:v>58.95703125</c:v>
                </c:pt>
                <c:pt idx="109">
                  <c:v>59.50292969</c:v>
                </c:pt>
                <c:pt idx="110">
                  <c:v>60.04882813</c:v>
                </c:pt>
                <c:pt idx="111">
                  <c:v>60.59472656</c:v>
                </c:pt>
                <c:pt idx="112">
                  <c:v>61.140625</c:v>
                </c:pt>
                <c:pt idx="113">
                  <c:v>61.68652344</c:v>
                </c:pt>
                <c:pt idx="114">
                  <c:v>62.23242188</c:v>
                </c:pt>
                <c:pt idx="115">
                  <c:v>62.77832031</c:v>
                </c:pt>
                <c:pt idx="116">
                  <c:v>63.32421875</c:v>
                </c:pt>
                <c:pt idx="117">
                  <c:v>63.87011719</c:v>
                </c:pt>
                <c:pt idx="118">
                  <c:v>64.41601563</c:v>
                </c:pt>
                <c:pt idx="119">
                  <c:v>64.96191406</c:v>
                </c:pt>
                <c:pt idx="120">
                  <c:v>65.5078125</c:v>
                </c:pt>
                <c:pt idx="121">
                  <c:v>66.05371094</c:v>
                </c:pt>
                <c:pt idx="122">
                  <c:v>66.59960938</c:v>
                </c:pt>
                <c:pt idx="123">
                  <c:v>67.14550781</c:v>
                </c:pt>
                <c:pt idx="124">
                  <c:v>67.69140625</c:v>
                </c:pt>
                <c:pt idx="125">
                  <c:v>68.23730469</c:v>
                </c:pt>
                <c:pt idx="126">
                  <c:v>68.78320313</c:v>
                </c:pt>
                <c:pt idx="127">
                  <c:v>69.32910156</c:v>
                </c:pt>
                <c:pt idx="128">
                  <c:v>69.875</c:v>
                </c:pt>
                <c:pt idx="129">
                  <c:v>70.42089844</c:v>
                </c:pt>
                <c:pt idx="130">
                  <c:v>70.96679688</c:v>
                </c:pt>
                <c:pt idx="131">
                  <c:v>71.51269531</c:v>
                </c:pt>
                <c:pt idx="132">
                  <c:v>72.05859375</c:v>
                </c:pt>
                <c:pt idx="133">
                  <c:v>72.60449219</c:v>
                </c:pt>
                <c:pt idx="134">
                  <c:v>73.15039063</c:v>
                </c:pt>
                <c:pt idx="135">
                  <c:v>73.69628906</c:v>
                </c:pt>
                <c:pt idx="136">
                  <c:v>74.2421875</c:v>
                </c:pt>
                <c:pt idx="137">
                  <c:v>74.78808594</c:v>
                </c:pt>
                <c:pt idx="138">
                  <c:v>75.33398438</c:v>
                </c:pt>
                <c:pt idx="139">
                  <c:v>75.87988281</c:v>
                </c:pt>
                <c:pt idx="140">
                  <c:v>76.42578125</c:v>
                </c:pt>
                <c:pt idx="141">
                  <c:v>76.97167969</c:v>
                </c:pt>
                <c:pt idx="142">
                  <c:v>77.51757813</c:v>
                </c:pt>
                <c:pt idx="143">
                  <c:v>78.06347656</c:v>
                </c:pt>
                <c:pt idx="144">
                  <c:v>78.609375</c:v>
                </c:pt>
                <c:pt idx="145">
                  <c:v>79.15527344</c:v>
                </c:pt>
                <c:pt idx="146">
                  <c:v>79.70117188</c:v>
                </c:pt>
                <c:pt idx="147">
                  <c:v>80.24707031</c:v>
                </c:pt>
                <c:pt idx="148">
                  <c:v>80.79296875</c:v>
                </c:pt>
                <c:pt idx="149">
                  <c:v>81.33886719</c:v>
                </c:pt>
                <c:pt idx="150">
                  <c:v>81.88476563</c:v>
                </c:pt>
                <c:pt idx="151">
                  <c:v>82.43066406</c:v>
                </c:pt>
                <c:pt idx="152">
                  <c:v>82.9765625</c:v>
                </c:pt>
                <c:pt idx="153">
                  <c:v>83.52246094</c:v>
                </c:pt>
                <c:pt idx="154">
                  <c:v>84.06835938</c:v>
                </c:pt>
                <c:pt idx="155">
                  <c:v>84.61425781</c:v>
                </c:pt>
                <c:pt idx="156">
                  <c:v>85.16015625</c:v>
                </c:pt>
                <c:pt idx="157">
                  <c:v>85.70605469</c:v>
                </c:pt>
                <c:pt idx="158">
                  <c:v>86.25195313</c:v>
                </c:pt>
                <c:pt idx="159">
                  <c:v>86.79785156</c:v>
                </c:pt>
                <c:pt idx="160">
                  <c:v>87.34375</c:v>
                </c:pt>
                <c:pt idx="161">
                  <c:v>87.88964844</c:v>
                </c:pt>
                <c:pt idx="162">
                  <c:v>88.43554688</c:v>
                </c:pt>
                <c:pt idx="163">
                  <c:v>88.98144531</c:v>
                </c:pt>
                <c:pt idx="164">
                  <c:v>89.52734375</c:v>
                </c:pt>
                <c:pt idx="165">
                  <c:v>90.07324219</c:v>
                </c:pt>
                <c:pt idx="166">
                  <c:v>90.61914063</c:v>
                </c:pt>
                <c:pt idx="167">
                  <c:v>91.16503906</c:v>
                </c:pt>
                <c:pt idx="168">
                  <c:v>91.7109375</c:v>
                </c:pt>
                <c:pt idx="169">
                  <c:v>92.25683594</c:v>
                </c:pt>
                <c:pt idx="170">
                  <c:v>92.80273438</c:v>
                </c:pt>
                <c:pt idx="171">
                  <c:v>93.34863281</c:v>
                </c:pt>
                <c:pt idx="172">
                  <c:v>93.89453125</c:v>
                </c:pt>
                <c:pt idx="173">
                  <c:v>94.44042969</c:v>
                </c:pt>
                <c:pt idx="174">
                  <c:v>94.98632813</c:v>
                </c:pt>
                <c:pt idx="175">
                  <c:v>95.53222656</c:v>
                </c:pt>
                <c:pt idx="176">
                  <c:v>96.078125</c:v>
                </c:pt>
                <c:pt idx="177">
                  <c:v>96.62402344</c:v>
                </c:pt>
                <c:pt idx="178">
                  <c:v>97.16992188</c:v>
                </c:pt>
                <c:pt idx="179">
                  <c:v>97.71582031</c:v>
                </c:pt>
                <c:pt idx="180">
                  <c:v>98.26171875</c:v>
                </c:pt>
                <c:pt idx="181">
                  <c:v>98.80761719</c:v>
                </c:pt>
                <c:pt idx="182">
                  <c:v>99.35351563</c:v>
                </c:pt>
                <c:pt idx="183">
                  <c:v>99.89941406</c:v>
                </c:pt>
                <c:pt idx="184">
                  <c:v>100.4453125</c:v>
                </c:pt>
                <c:pt idx="185">
                  <c:v>100.9912109</c:v>
                </c:pt>
                <c:pt idx="186">
                  <c:v>101.5371094</c:v>
                </c:pt>
                <c:pt idx="187">
                  <c:v>102.0830078</c:v>
                </c:pt>
                <c:pt idx="188">
                  <c:v>102.6289063</c:v>
                </c:pt>
                <c:pt idx="189">
                  <c:v>103.1748047</c:v>
                </c:pt>
                <c:pt idx="190">
                  <c:v>103.7207031</c:v>
                </c:pt>
                <c:pt idx="191">
                  <c:v>104.2666016</c:v>
                </c:pt>
                <c:pt idx="192">
                  <c:v>104.8125</c:v>
                </c:pt>
                <c:pt idx="193">
                  <c:v>105.3583984</c:v>
                </c:pt>
                <c:pt idx="194">
                  <c:v>105.9042969</c:v>
                </c:pt>
                <c:pt idx="195">
                  <c:v>106.4501953</c:v>
                </c:pt>
                <c:pt idx="196">
                  <c:v>106.9960938</c:v>
                </c:pt>
                <c:pt idx="197">
                  <c:v>107.5419922</c:v>
                </c:pt>
                <c:pt idx="198">
                  <c:v>108.0878906</c:v>
                </c:pt>
                <c:pt idx="199">
                  <c:v>108.6337891</c:v>
                </c:pt>
                <c:pt idx="200">
                  <c:v>109.1796875</c:v>
                </c:pt>
                <c:pt idx="201">
                  <c:v>109.7255859</c:v>
                </c:pt>
                <c:pt idx="202">
                  <c:v>110.2714844</c:v>
                </c:pt>
                <c:pt idx="203">
                  <c:v>110.8173828</c:v>
                </c:pt>
                <c:pt idx="204">
                  <c:v>111.3632813</c:v>
                </c:pt>
                <c:pt idx="205">
                  <c:v>111.9091797</c:v>
                </c:pt>
                <c:pt idx="206">
                  <c:v>112.4550781</c:v>
                </c:pt>
                <c:pt idx="207">
                  <c:v>113.0009766</c:v>
                </c:pt>
                <c:pt idx="208">
                  <c:v>113.546875</c:v>
                </c:pt>
                <c:pt idx="209">
                  <c:v>114.0927734</c:v>
                </c:pt>
                <c:pt idx="210">
                  <c:v>114.6386719</c:v>
                </c:pt>
                <c:pt idx="211">
                  <c:v>115.1845703</c:v>
                </c:pt>
                <c:pt idx="212">
                  <c:v>115.7304688</c:v>
                </c:pt>
                <c:pt idx="213">
                  <c:v>116.2763672</c:v>
                </c:pt>
                <c:pt idx="214">
                  <c:v>116.8222656</c:v>
                </c:pt>
                <c:pt idx="215">
                  <c:v>117.3681641</c:v>
                </c:pt>
                <c:pt idx="216">
                  <c:v>117.9140625</c:v>
                </c:pt>
                <c:pt idx="217">
                  <c:v>118.4599609</c:v>
                </c:pt>
                <c:pt idx="218">
                  <c:v>119.0058594</c:v>
                </c:pt>
                <c:pt idx="219">
                  <c:v>119.5517578</c:v>
                </c:pt>
                <c:pt idx="220">
                  <c:v>120.0976563</c:v>
                </c:pt>
                <c:pt idx="221">
                  <c:v>120.6435547</c:v>
                </c:pt>
                <c:pt idx="222">
                  <c:v>121.1894531</c:v>
                </c:pt>
                <c:pt idx="223">
                  <c:v>121.7353516</c:v>
                </c:pt>
                <c:pt idx="224">
                  <c:v>122.28125</c:v>
                </c:pt>
                <c:pt idx="225">
                  <c:v>122.8271484</c:v>
                </c:pt>
                <c:pt idx="226">
                  <c:v>123.3730469</c:v>
                </c:pt>
                <c:pt idx="227">
                  <c:v>123.9189453</c:v>
                </c:pt>
                <c:pt idx="228">
                  <c:v>124.4648438</c:v>
                </c:pt>
                <c:pt idx="229">
                  <c:v>125.0107422</c:v>
                </c:pt>
                <c:pt idx="230">
                  <c:v>125.5566406</c:v>
                </c:pt>
                <c:pt idx="231">
                  <c:v>126.1025391</c:v>
                </c:pt>
                <c:pt idx="232">
                  <c:v>126.6484375</c:v>
                </c:pt>
                <c:pt idx="233">
                  <c:v>127.1943359</c:v>
                </c:pt>
                <c:pt idx="234">
                  <c:v>127.7402344</c:v>
                </c:pt>
                <c:pt idx="235">
                  <c:v>128.2861328</c:v>
                </c:pt>
                <c:pt idx="236">
                  <c:v>128.8320313</c:v>
                </c:pt>
                <c:pt idx="237">
                  <c:v>129.3779297</c:v>
                </c:pt>
                <c:pt idx="238">
                  <c:v>129.9238281</c:v>
                </c:pt>
                <c:pt idx="239">
                  <c:v>130.4697266</c:v>
                </c:pt>
                <c:pt idx="240">
                  <c:v>131.015625</c:v>
                </c:pt>
                <c:pt idx="241">
                  <c:v>131.5615234</c:v>
                </c:pt>
                <c:pt idx="242">
                  <c:v>132.1074219</c:v>
                </c:pt>
                <c:pt idx="243">
                  <c:v>132.6533203</c:v>
                </c:pt>
                <c:pt idx="244">
                  <c:v>133.1992188</c:v>
                </c:pt>
                <c:pt idx="245">
                  <c:v>133.7451172</c:v>
                </c:pt>
                <c:pt idx="246">
                  <c:v>134.2910156</c:v>
                </c:pt>
                <c:pt idx="247">
                  <c:v>134.8369141</c:v>
                </c:pt>
                <c:pt idx="248">
                  <c:v>135.3828125</c:v>
                </c:pt>
                <c:pt idx="249">
                  <c:v>135.9287109</c:v>
                </c:pt>
                <c:pt idx="250">
                  <c:v>136.4746094</c:v>
                </c:pt>
                <c:pt idx="251">
                  <c:v>137.0205078</c:v>
                </c:pt>
                <c:pt idx="252">
                  <c:v>137.5664063</c:v>
                </c:pt>
                <c:pt idx="253">
                  <c:v>138.1123047</c:v>
                </c:pt>
                <c:pt idx="254">
                  <c:v>138.6582031</c:v>
                </c:pt>
                <c:pt idx="255">
                  <c:v>139.2041016</c:v>
                </c:pt>
                <c:pt idx="256">
                  <c:v>139.75</c:v>
                </c:pt>
                <c:pt idx="257">
                  <c:v>140.2958984</c:v>
                </c:pt>
                <c:pt idx="258">
                  <c:v>140.8417969</c:v>
                </c:pt>
                <c:pt idx="259">
                  <c:v>141.3876953</c:v>
                </c:pt>
                <c:pt idx="260">
                  <c:v>141.9335938</c:v>
                </c:pt>
                <c:pt idx="261">
                  <c:v>142.4794922</c:v>
                </c:pt>
                <c:pt idx="262">
                  <c:v>143.0253906</c:v>
                </c:pt>
                <c:pt idx="263">
                  <c:v>143.5712891</c:v>
                </c:pt>
                <c:pt idx="264">
                  <c:v>144.1171875</c:v>
                </c:pt>
                <c:pt idx="265">
                  <c:v>144.6630859</c:v>
                </c:pt>
                <c:pt idx="266">
                  <c:v>145.2089844</c:v>
                </c:pt>
                <c:pt idx="267">
                  <c:v>145.7548828</c:v>
                </c:pt>
                <c:pt idx="268">
                  <c:v>146.3007813</c:v>
                </c:pt>
                <c:pt idx="269">
                  <c:v>146.8466797</c:v>
                </c:pt>
                <c:pt idx="270">
                  <c:v>147.3925781</c:v>
                </c:pt>
                <c:pt idx="271">
                  <c:v>147.9384766</c:v>
                </c:pt>
                <c:pt idx="272">
                  <c:v>148.484375</c:v>
                </c:pt>
                <c:pt idx="273">
                  <c:v>149.0302734</c:v>
                </c:pt>
                <c:pt idx="274">
                  <c:v>149.5761719</c:v>
                </c:pt>
                <c:pt idx="275">
                  <c:v>150.1220703</c:v>
                </c:pt>
                <c:pt idx="276">
                  <c:v>150.6679688</c:v>
                </c:pt>
                <c:pt idx="277">
                  <c:v>151.2138672</c:v>
                </c:pt>
                <c:pt idx="278">
                  <c:v>151.7597656</c:v>
                </c:pt>
                <c:pt idx="279">
                  <c:v>152.3056641</c:v>
                </c:pt>
                <c:pt idx="280">
                  <c:v>152.8515625</c:v>
                </c:pt>
                <c:pt idx="281">
                  <c:v>153.3974609</c:v>
                </c:pt>
                <c:pt idx="282">
                  <c:v>153.9433594</c:v>
                </c:pt>
                <c:pt idx="283">
                  <c:v>154.4892578</c:v>
                </c:pt>
                <c:pt idx="284">
                  <c:v>155.0351563</c:v>
                </c:pt>
                <c:pt idx="285">
                  <c:v>155.5810547</c:v>
                </c:pt>
                <c:pt idx="286">
                  <c:v>156.1269531</c:v>
                </c:pt>
                <c:pt idx="287">
                  <c:v>156.6728516</c:v>
                </c:pt>
                <c:pt idx="288">
                  <c:v>157.21875</c:v>
                </c:pt>
                <c:pt idx="289">
                  <c:v>157.7646484</c:v>
                </c:pt>
                <c:pt idx="290">
                  <c:v>158.3105469</c:v>
                </c:pt>
                <c:pt idx="291">
                  <c:v>158.8564453</c:v>
                </c:pt>
                <c:pt idx="292">
                  <c:v>159.4023438</c:v>
                </c:pt>
                <c:pt idx="293">
                  <c:v>159.9482422</c:v>
                </c:pt>
                <c:pt idx="294">
                  <c:v>160.4941406</c:v>
                </c:pt>
                <c:pt idx="295">
                  <c:v>161.0400391</c:v>
                </c:pt>
                <c:pt idx="296">
                  <c:v>161.5859375</c:v>
                </c:pt>
                <c:pt idx="297">
                  <c:v>162.1318359</c:v>
                </c:pt>
                <c:pt idx="298">
                  <c:v>162.6777344</c:v>
                </c:pt>
                <c:pt idx="299">
                  <c:v>163.2236328</c:v>
                </c:pt>
                <c:pt idx="300">
                  <c:v>163.7695313</c:v>
                </c:pt>
                <c:pt idx="301">
                  <c:v>164.3154297</c:v>
                </c:pt>
                <c:pt idx="302">
                  <c:v>164.8613281</c:v>
                </c:pt>
                <c:pt idx="303">
                  <c:v>165.4072266</c:v>
                </c:pt>
                <c:pt idx="304">
                  <c:v>165.953125</c:v>
                </c:pt>
                <c:pt idx="305">
                  <c:v>166.4990234</c:v>
                </c:pt>
                <c:pt idx="306">
                  <c:v>167.0449219</c:v>
                </c:pt>
                <c:pt idx="307">
                  <c:v>167.5908203</c:v>
                </c:pt>
                <c:pt idx="308">
                  <c:v>168.1367188</c:v>
                </c:pt>
                <c:pt idx="309">
                  <c:v>168.6826172</c:v>
                </c:pt>
                <c:pt idx="310">
                  <c:v>169.2285156</c:v>
                </c:pt>
                <c:pt idx="311">
                  <c:v>169.7744141</c:v>
                </c:pt>
                <c:pt idx="312">
                  <c:v>170.3203125</c:v>
                </c:pt>
                <c:pt idx="313">
                  <c:v>170.8662109</c:v>
                </c:pt>
                <c:pt idx="314">
                  <c:v>171.4121094</c:v>
                </c:pt>
                <c:pt idx="315">
                  <c:v>171.9580078</c:v>
                </c:pt>
                <c:pt idx="316">
                  <c:v>172.5039063</c:v>
                </c:pt>
                <c:pt idx="317">
                  <c:v>173.0498047</c:v>
                </c:pt>
                <c:pt idx="318">
                  <c:v>173.5957031</c:v>
                </c:pt>
                <c:pt idx="319">
                  <c:v>174.1416016</c:v>
                </c:pt>
                <c:pt idx="320">
                  <c:v>174.6875</c:v>
                </c:pt>
                <c:pt idx="321">
                  <c:v>175.2333984</c:v>
                </c:pt>
                <c:pt idx="322">
                  <c:v>175.7792969</c:v>
                </c:pt>
                <c:pt idx="323">
                  <c:v>176.3251953</c:v>
                </c:pt>
                <c:pt idx="324">
                  <c:v>176.8710938</c:v>
                </c:pt>
                <c:pt idx="325">
                  <c:v>177.4169922</c:v>
                </c:pt>
                <c:pt idx="326">
                  <c:v>177.9628906</c:v>
                </c:pt>
                <c:pt idx="327">
                  <c:v>178.5087891</c:v>
                </c:pt>
                <c:pt idx="328">
                  <c:v>179.0546875</c:v>
                </c:pt>
                <c:pt idx="329">
                  <c:v>179.6005859</c:v>
                </c:pt>
                <c:pt idx="330">
                  <c:v>180.1464844</c:v>
                </c:pt>
                <c:pt idx="331">
                  <c:v>180.6923828</c:v>
                </c:pt>
                <c:pt idx="332">
                  <c:v>181.2382813</c:v>
                </c:pt>
                <c:pt idx="333">
                  <c:v>181.7841797</c:v>
                </c:pt>
                <c:pt idx="334">
                  <c:v>182.3300781</c:v>
                </c:pt>
                <c:pt idx="335">
                  <c:v>182.8759766</c:v>
                </c:pt>
                <c:pt idx="336">
                  <c:v>183.421875</c:v>
                </c:pt>
                <c:pt idx="337">
                  <c:v>183.9677734</c:v>
                </c:pt>
                <c:pt idx="338">
                  <c:v>184.5136719</c:v>
                </c:pt>
                <c:pt idx="339">
                  <c:v>185.0595703</c:v>
                </c:pt>
                <c:pt idx="340">
                  <c:v>185.6054688</c:v>
                </c:pt>
                <c:pt idx="341">
                  <c:v>186.1513672</c:v>
                </c:pt>
                <c:pt idx="342">
                  <c:v>186.6972656</c:v>
                </c:pt>
                <c:pt idx="343">
                  <c:v>187.2431641</c:v>
                </c:pt>
                <c:pt idx="344">
                  <c:v>187.7890625</c:v>
                </c:pt>
                <c:pt idx="345">
                  <c:v>188.3349609</c:v>
                </c:pt>
                <c:pt idx="346">
                  <c:v>188.8808594</c:v>
                </c:pt>
                <c:pt idx="347">
                  <c:v>189.4267578</c:v>
                </c:pt>
                <c:pt idx="348">
                  <c:v>189.9726563</c:v>
                </c:pt>
                <c:pt idx="349">
                  <c:v>190.5185547</c:v>
                </c:pt>
                <c:pt idx="350">
                  <c:v>191.0644531</c:v>
                </c:pt>
                <c:pt idx="351">
                  <c:v>191.6103516</c:v>
                </c:pt>
                <c:pt idx="352">
                  <c:v>192.15625</c:v>
                </c:pt>
                <c:pt idx="353">
                  <c:v>192.7021484</c:v>
                </c:pt>
                <c:pt idx="354">
                  <c:v>193.2480469</c:v>
                </c:pt>
                <c:pt idx="355">
                  <c:v>193.7939453</c:v>
                </c:pt>
                <c:pt idx="356">
                  <c:v>194.3398438</c:v>
                </c:pt>
                <c:pt idx="357">
                  <c:v>194.8857422</c:v>
                </c:pt>
                <c:pt idx="358">
                  <c:v>195.4316406</c:v>
                </c:pt>
                <c:pt idx="359">
                  <c:v>195.9775391</c:v>
                </c:pt>
                <c:pt idx="360">
                  <c:v>196.5234375</c:v>
                </c:pt>
                <c:pt idx="361">
                  <c:v>197.0693359</c:v>
                </c:pt>
                <c:pt idx="362">
                  <c:v>197.6152344</c:v>
                </c:pt>
                <c:pt idx="363">
                  <c:v>198.1611328</c:v>
                </c:pt>
                <c:pt idx="364">
                  <c:v>198.7070313</c:v>
                </c:pt>
                <c:pt idx="365">
                  <c:v>199.2529297</c:v>
                </c:pt>
                <c:pt idx="366">
                  <c:v>199.7988281</c:v>
                </c:pt>
                <c:pt idx="367">
                  <c:v>200.3447266</c:v>
                </c:pt>
                <c:pt idx="368">
                  <c:v>200.890625</c:v>
                </c:pt>
                <c:pt idx="369">
                  <c:v>201.4365234</c:v>
                </c:pt>
                <c:pt idx="370">
                  <c:v>201.9824219</c:v>
                </c:pt>
                <c:pt idx="371">
                  <c:v>202.5283203</c:v>
                </c:pt>
                <c:pt idx="372">
                  <c:v>203.0742188</c:v>
                </c:pt>
                <c:pt idx="373">
                  <c:v>203.6201172</c:v>
                </c:pt>
                <c:pt idx="374">
                  <c:v>204.1660156</c:v>
                </c:pt>
                <c:pt idx="375">
                  <c:v>204.7119141</c:v>
                </c:pt>
                <c:pt idx="376">
                  <c:v>205.2578125</c:v>
                </c:pt>
                <c:pt idx="377">
                  <c:v>205.8037109</c:v>
                </c:pt>
                <c:pt idx="378">
                  <c:v>206.3496094</c:v>
                </c:pt>
                <c:pt idx="379">
                  <c:v>206.8955078</c:v>
                </c:pt>
                <c:pt idx="380">
                  <c:v>207.4414063</c:v>
                </c:pt>
                <c:pt idx="381">
                  <c:v>207.9873047</c:v>
                </c:pt>
                <c:pt idx="382">
                  <c:v>208.5332031</c:v>
                </c:pt>
                <c:pt idx="383">
                  <c:v>209.0791016</c:v>
                </c:pt>
                <c:pt idx="384">
                  <c:v>209.625</c:v>
                </c:pt>
                <c:pt idx="385">
                  <c:v>210.1708984</c:v>
                </c:pt>
                <c:pt idx="386">
                  <c:v>210.7167969</c:v>
                </c:pt>
                <c:pt idx="387">
                  <c:v>211.2626953</c:v>
                </c:pt>
                <c:pt idx="388">
                  <c:v>211.8085938</c:v>
                </c:pt>
                <c:pt idx="389">
                  <c:v>212.3544922</c:v>
                </c:pt>
                <c:pt idx="390">
                  <c:v>212.9003906</c:v>
                </c:pt>
                <c:pt idx="391">
                  <c:v>213.4462891</c:v>
                </c:pt>
                <c:pt idx="392">
                  <c:v>213.9921875</c:v>
                </c:pt>
                <c:pt idx="393">
                  <c:v>214.5380859</c:v>
                </c:pt>
                <c:pt idx="394">
                  <c:v>215.0839844</c:v>
                </c:pt>
                <c:pt idx="395">
                  <c:v>215.6298828</c:v>
                </c:pt>
                <c:pt idx="396">
                  <c:v>216.1757813</c:v>
                </c:pt>
                <c:pt idx="397">
                  <c:v>216.7216797</c:v>
                </c:pt>
                <c:pt idx="398">
                  <c:v>217.2675781</c:v>
                </c:pt>
                <c:pt idx="399">
                  <c:v>217.8134766</c:v>
                </c:pt>
                <c:pt idx="400">
                  <c:v>218.359375</c:v>
                </c:pt>
                <c:pt idx="401">
                  <c:v>218.9052734</c:v>
                </c:pt>
                <c:pt idx="402">
                  <c:v>219.4511719</c:v>
                </c:pt>
                <c:pt idx="403">
                  <c:v>219.9970703</c:v>
                </c:pt>
                <c:pt idx="404">
                  <c:v>220.5429688</c:v>
                </c:pt>
                <c:pt idx="405">
                  <c:v>221.0888672</c:v>
                </c:pt>
                <c:pt idx="406">
                  <c:v>221.6347656</c:v>
                </c:pt>
                <c:pt idx="407">
                  <c:v>222.1806641</c:v>
                </c:pt>
                <c:pt idx="408">
                  <c:v>222.7265625</c:v>
                </c:pt>
                <c:pt idx="409">
                  <c:v>223.2724609</c:v>
                </c:pt>
                <c:pt idx="410">
                  <c:v>223.8183594</c:v>
                </c:pt>
                <c:pt idx="411">
                  <c:v>224.3642578</c:v>
                </c:pt>
                <c:pt idx="412">
                  <c:v>224.9101563</c:v>
                </c:pt>
                <c:pt idx="413">
                  <c:v>225.4560547</c:v>
                </c:pt>
                <c:pt idx="414">
                  <c:v>226.0019531</c:v>
                </c:pt>
                <c:pt idx="415">
                  <c:v>226.5478516</c:v>
                </c:pt>
                <c:pt idx="416">
                  <c:v>227.09375</c:v>
                </c:pt>
                <c:pt idx="417">
                  <c:v>227.6396484</c:v>
                </c:pt>
                <c:pt idx="418">
                  <c:v>228.1855469</c:v>
                </c:pt>
                <c:pt idx="419">
                  <c:v>228.7314453</c:v>
                </c:pt>
                <c:pt idx="420">
                  <c:v>229.2773438</c:v>
                </c:pt>
                <c:pt idx="421">
                  <c:v>229.8232422</c:v>
                </c:pt>
                <c:pt idx="422">
                  <c:v>230.3691406</c:v>
                </c:pt>
                <c:pt idx="423">
                  <c:v>230.9150391</c:v>
                </c:pt>
                <c:pt idx="424">
                  <c:v>231.4609375</c:v>
                </c:pt>
                <c:pt idx="425">
                  <c:v>232.0068359</c:v>
                </c:pt>
                <c:pt idx="426">
                  <c:v>232.5527344</c:v>
                </c:pt>
                <c:pt idx="427">
                  <c:v>233.0986328</c:v>
                </c:pt>
                <c:pt idx="428">
                  <c:v>233.6445313</c:v>
                </c:pt>
                <c:pt idx="429">
                  <c:v>234.1904297</c:v>
                </c:pt>
                <c:pt idx="430">
                  <c:v>234.7363281</c:v>
                </c:pt>
                <c:pt idx="431">
                  <c:v>235.2822266</c:v>
                </c:pt>
                <c:pt idx="432">
                  <c:v>235.828125</c:v>
                </c:pt>
                <c:pt idx="433">
                  <c:v>236.3740234</c:v>
                </c:pt>
                <c:pt idx="434">
                  <c:v>236.9199219</c:v>
                </c:pt>
                <c:pt idx="435">
                  <c:v>237.4658203</c:v>
                </c:pt>
                <c:pt idx="436">
                  <c:v>238.0117188</c:v>
                </c:pt>
                <c:pt idx="437">
                  <c:v>238.5576172</c:v>
                </c:pt>
                <c:pt idx="438">
                  <c:v>239.1035156</c:v>
                </c:pt>
                <c:pt idx="439">
                  <c:v>239.6494141</c:v>
                </c:pt>
                <c:pt idx="440">
                  <c:v>240.1953125</c:v>
                </c:pt>
                <c:pt idx="441">
                  <c:v>240.7412109</c:v>
                </c:pt>
                <c:pt idx="442">
                  <c:v>241.2871094</c:v>
                </c:pt>
                <c:pt idx="443">
                  <c:v>241.8330078</c:v>
                </c:pt>
                <c:pt idx="444">
                  <c:v>242.3789063</c:v>
                </c:pt>
                <c:pt idx="445">
                  <c:v>242.9248047</c:v>
                </c:pt>
                <c:pt idx="446">
                  <c:v>243.4707031</c:v>
                </c:pt>
                <c:pt idx="447">
                  <c:v>244.0166016</c:v>
                </c:pt>
                <c:pt idx="448">
                  <c:v>244.5625</c:v>
                </c:pt>
                <c:pt idx="449">
                  <c:v>245.1083984</c:v>
                </c:pt>
                <c:pt idx="450">
                  <c:v>245.6542969</c:v>
                </c:pt>
                <c:pt idx="451">
                  <c:v>246.2001953</c:v>
                </c:pt>
                <c:pt idx="452">
                  <c:v>246.7460938</c:v>
                </c:pt>
                <c:pt idx="453">
                  <c:v>247.2919922</c:v>
                </c:pt>
                <c:pt idx="454">
                  <c:v>247.8378906</c:v>
                </c:pt>
                <c:pt idx="455">
                  <c:v>248.3837891</c:v>
                </c:pt>
                <c:pt idx="456">
                  <c:v>248.9296875</c:v>
                </c:pt>
                <c:pt idx="457">
                  <c:v>249.4755859</c:v>
                </c:pt>
                <c:pt idx="458">
                  <c:v>250.0214844</c:v>
                </c:pt>
                <c:pt idx="459">
                  <c:v>250.5673828</c:v>
                </c:pt>
                <c:pt idx="460">
                  <c:v>251.1132813</c:v>
                </c:pt>
                <c:pt idx="461">
                  <c:v>251.6591797</c:v>
                </c:pt>
                <c:pt idx="462">
                  <c:v>252.2050781</c:v>
                </c:pt>
                <c:pt idx="463">
                  <c:v>252.7509766</c:v>
                </c:pt>
                <c:pt idx="464">
                  <c:v>253.296875</c:v>
                </c:pt>
                <c:pt idx="465">
                  <c:v>253.8427734</c:v>
                </c:pt>
                <c:pt idx="466">
                  <c:v>254.3886719</c:v>
                </c:pt>
                <c:pt idx="467">
                  <c:v>254.9345703</c:v>
                </c:pt>
                <c:pt idx="468">
                  <c:v>255.4804688</c:v>
                </c:pt>
                <c:pt idx="469">
                  <c:v>256.0263672</c:v>
                </c:pt>
                <c:pt idx="470">
                  <c:v>256.5722656</c:v>
                </c:pt>
                <c:pt idx="471">
                  <c:v>257.1181641</c:v>
                </c:pt>
                <c:pt idx="472">
                  <c:v>257.6640625</c:v>
                </c:pt>
                <c:pt idx="473">
                  <c:v>258.2099609</c:v>
                </c:pt>
                <c:pt idx="474">
                  <c:v>258.7558594</c:v>
                </c:pt>
                <c:pt idx="475">
                  <c:v>259.3017578</c:v>
                </c:pt>
                <c:pt idx="476">
                  <c:v>259.8476563</c:v>
                </c:pt>
                <c:pt idx="477">
                  <c:v>260.3935547</c:v>
                </c:pt>
                <c:pt idx="478">
                  <c:v>260.9394531</c:v>
                </c:pt>
                <c:pt idx="479">
                  <c:v>261.4853516</c:v>
                </c:pt>
                <c:pt idx="480">
                  <c:v>262.03125</c:v>
                </c:pt>
                <c:pt idx="481">
                  <c:v>262.5771484</c:v>
                </c:pt>
                <c:pt idx="482">
                  <c:v>263.1230469</c:v>
                </c:pt>
                <c:pt idx="483">
                  <c:v>263.6689453</c:v>
                </c:pt>
                <c:pt idx="484">
                  <c:v>264.2148438</c:v>
                </c:pt>
                <c:pt idx="485">
                  <c:v>264.7607422</c:v>
                </c:pt>
                <c:pt idx="486">
                  <c:v>265.3066406</c:v>
                </c:pt>
                <c:pt idx="487">
                  <c:v>265.8525391</c:v>
                </c:pt>
                <c:pt idx="488">
                  <c:v>266.3984375</c:v>
                </c:pt>
                <c:pt idx="489">
                  <c:v>266.9443359</c:v>
                </c:pt>
                <c:pt idx="490">
                  <c:v>267.4902344</c:v>
                </c:pt>
                <c:pt idx="491">
                  <c:v>268.0361328</c:v>
                </c:pt>
                <c:pt idx="492">
                  <c:v>268.5820313</c:v>
                </c:pt>
                <c:pt idx="493">
                  <c:v>269.1279297</c:v>
                </c:pt>
                <c:pt idx="494">
                  <c:v>269.6738281</c:v>
                </c:pt>
                <c:pt idx="495">
                  <c:v>270.2197266</c:v>
                </c:pt>
                <c:pt idx="496">
                  <c:v>270.765625</c:v>
                </c:pt>
                <c:pt idx="497">
                  <c:v>271.3115234</c:v>
                </c:pt>
                <c:pt idx="498">
                  <c:v>271.8574219</c:v>
                </c:pt>
                <c:pt idx="499">
                  <c:v>272.4033203</c:v>
                </c:pt>
                <c:pt idx="500">
                  <c:v>272.9492188</c:v>
                </c:pt>
                <c:pt idx="501">
                  <c:v>273.4951172</c:v>
                </c:pt>
                <c:pt idx="502">
                  <c:v>274.0410156</c:v>
                </c:pt>
                <c:pt idx="503">
                  <c:v>274.5869141</c:v>
                </c:pt>
                <c:pt idx="504">
                  <c:v>275.1328125</c:v>
                </c:pt>
                <c:pt idx="505">
                  <c:v>275.6787109</c:v>
                </c:pt>
                <c:pt idx="506">
                  <c:v>276.2246094</c:v>
                </c:pt>
                <c:pt idx="507">
                  <c:v>276.7705078</c:v>
                </c:pt>
                <c:pt idx="508">
                  <c:v>277.3164063</c:v>
                </c:pt>
                <c:pt idx="509">
                  <c:v>277.8623047</c:v>
                </c:pt>
                <c:pt idx="510">
                  <c:v>278.4082031</c:v>
                </c:pt>
                <c:pt idx="511">
                  <c:v>278.9541016</c:v>
                </c:pt>
                <c:pt idx="512">
                  <c:v>279.5</c:v>
                </c:pt>
                <c:pt idx="513">
                  <c:v>280.0458984</c:v>
                </c:pt>
                <c:pt idx="514">
                  <c:v>280.5917969</c:v>
                </c:pt>
                <c:pt idx="515">
                  <c:v>281.1376953</c:v>
                </c:pt>
                <c:pt idx="516">
                  <c:v>281.6835938</c:v>
                </c:pt>
                <c:pt idx="517">
                  <c:v>282.2294922</c:v>
                </c:pt>
                <c:pt idx="518">
                  <c:v>282.7753906</c:v>
                </c:pt>
                <c:pt idx="519">
                  <c:v>283.3212891</c:v>
                </c:pt>
                <c:pt idx="520">
                  <c:v>283.8671875</c:v>
                </c:pt>
                <c:pt idx="521">
                  <c:v>284.4130859</c:v>
                </c:pt>
                <c:pt idx="522">
                  <c:v>284.9589844</c:v>
                </c:pt>
                <c:pt idx="523">
                  <c:v>285.5048828</c:v>
                </c:pt>
                <c:pt idx="524">
                  <c:v>286.0507813</c:v>
                </c:pt>
                <c:pt idx="525">
                  <c:v>286.5966797</c:v>
                </c:pt>
                <c:pt idx="526">
                  <c:v>287.1425781</c:v>
                </c:pt>
                <c:pt idx="527">
                  <c:v>287.6884766</c:v>
                </c:pt>
                <c:pt idx="528">
                  <c:v>288.234375</c:v>
                </c:pt>
                <c:pt idx="529">
                  <c:v>288.7802734</c:v>
                </c:pt>
                <c:pt idx="530">
                  <c:v>289.3261719</c:v>
                </c:pt>
                <c:pt idx="531">
                  <c:v>289.8720703</c:v>
                </c:pt>
                <c:pt idx="532">
                  <c:v>290.4179688</c:v>
                </c:pt>
                <c:pt idx="533">
                  <c:v>290.9638672</c:v>
                </c:pt>
                <c:pt idx="534">
                  <c:v>291.5097656</c:v>
                </c:pt>
                <c:pt idx="535">
                  <c:v>292.0556641</c:v>
                </c:pt>
                <c:pt idx="536">
                  <c:v>292.6015625</c:v>
                </c:pt>
                <c:pt idx="537">
                  <c:v>293.1474609</c:v>
                </c:pt>
                <c:pt idx="538">
                  <c:v>293.6933594</c:v>
                </c:pt>
                <c:pt idx="539">
                  <c:v>294.2392578</c:v>
                </c:pt>
                <c:pt idx="540">
                  <c:v>294.7851563</c:v>
                </c:pt>
                <c:pt idx="541">
                  <c:v>295.3310547</c:v>
                </c:pt>
                <c:pt idx="542">
                  <c:v>295.8769531</c:v>
                </c:pt>
                <c:pt idx="543">
                  <c:v>296.4228516</c:v>
                </c:pt>
                <c:pt idx="544">
                  <c:v>296.96875</c:v>
                </c:pt>
                <c:pt idx="545">
                  <c:v>297.5146484</c:v>
                </c:pt>
                <c:pt idx="546">
                  <c:v>298.0605469</c:v>
                </c:pt>
                <c:pt idx="547">
                  <c:v>298.6064453</c:v>
                </c:pt>
                <c:pt idx="548">
                  <c:v>299.1523438</c:v>
                </c:pt>
                <c:pt idx="549">
                  <c:v>299.6982422</c:v>
                </c:pt>
                <c:pt idx="550">
                  <c:v>300.2441406</c:v>
                </c:pt>
                <c:pt idx="551">
                  <c:v>300.7900391</c:v>
                </c:pt>
                <c:pt idx="552">
                  <c:v>301.3359375</c:v>
                </c:pt>
                <c:pt idx="553">
                  <c:v>301.8818359</c:v>
                </c:pt>
                <c:pt idx="554">
                  <c:v>302.4277344</c:v>
                </c:pt>
                <c:pt idx="555">
                  <c:v>302.9736328</c:v>
                </c:pt>
                <c:pt idx="556">
                  <c:v>303.5195313</c:v>
                </c:pt>
                <c:pt idx="557">
                  <c:v>304.0654297</c:v>
                </c:pt>
                <c:pt idx="558">
                  <c:v>304.6113281</c:v>
                </c:pt>
                <c:pt idx="559">
                  <c:v>305.1572266</c:v>
                </c:pt>
                <c:pt idx="560">
                  <c:v>305.703125</c:v>
                </c:pt>
                <c:pt idx="561">
                  <c:v>306.2490234</c:v>
                </c:pt>
                <c:pt idx="562">
                  <c:v>306.7949219</c:v>
                </c:pt>
                <c:pt idx="563">
                  <c:v>307.3408203</c:v>
                </c:pt>
                <c:pt idx="564">
                  <c:v>307.8867188</c:v>
                </c:pt>
                <c:pt idx="565">
                  <c:v>308.4326172</c:v>
                </c:pt>
                <c:pt idx="566">
                  <c:v>308.9785156</c:v>
                </c:pt>
                <c:pt idx="567">
                  <c:v>309.5244141</c:v>
                </c:pt>
                <c:pt idx="568">
                  <c:v>310.0703125</c:v>
                </c:pt>
                <c:pt idx="569">
                  <c:v>310.6162109</c:v>
                </c:pt>
                <c:pt idx="570">
                  <c:v>311.1621094</c:v>
                </c:pt>
                <c:pt idx="571">
                  <c:v>311.7080078</c:v>
                </c:pt>
                <c:pt idx="572">
                  <c:v>312.2539063</c:v>
                </c:pt>
                <c:pt idx="573">
                  <c:v>312.7998047</c:v>
                </c:pt>
                <c:pt idx="574">
                  <c:v>313.3457031</c:v>
                </c:pt>
                <c:pt idx="575">
                  <c:v>313.8916016</c:v>
                </c:pt>
                <c:pt idx="576">
                  <c:v>314.4375</c:v>
                </c:pt>
                <c:pt idx="577">
                  <c:v>314.9833984</c:v>
                </c:pt>
                <c:pt idx="578">
                  <c:v>315.5292969</c:v>
                </c:pt>
                <c:pt idx="579">
                  <c:v>316.0751953</c:v>
                </c:pt>
                <c:pt idx="580">
                  <c:v>316.6210938</c:v>
                </c:pt>
                <c:pt idx="581">
                  <c:v>317.1669922</c:v>
                </c:pt>
                <c:pt idx="582">
                  <c:v>317.7128906</c:v>
                </c:pt>
                <c:pt idx="583">
                  <c:v>318.2587891</c:v>
                </c:pt>
                <c:pt idx="584">
                  <c:v>318.8046875</c:v>
                </c:pt>
                <c:pt idx="585">
                  <c:v>319.3505859</c:v>
                </c:pt>
                <c:pt idx="586">
                  <c:v>319.8964844</c:v>
                </c:pt>
                <c:pt idx="587">
                  <c:v>320.4423828</c:v>
                </c:pt>
                <c:pt idx="588">
                  <c:v>320.9882813</c:v>
                </c:pt>
                <c:pt idx="589">
                  <c:v>321.5341797</c:v>
                </c:pt>
                <c:pt idx="590">
                  <c:v>322.0800781</c:v>
                </c:pt>
                <c:pt idx="591">
                  <c:v>322.6259766</c:v>
                </c:pt>
                <c:pt idx="592">
                  <c:v>323.171875</c:v>
                </c:pt>
                <c:pt idx="593">
                  <c:v>323.7177734</c:v>
                </c:pt>
                <c:pt idx="594">
                  <c:v>324.2636719</c:v>
                </c:pt>
                <c:pt idx="595">
                  <c:v>324.8095703</c:v>
                </c:pt>
                <c:pt idx="596">
                  <c:v>325.3554688</c:v>
                </c:pt>
                <c:pt idx="597">
                  <c:v>325.9013672</c:v>
                </c:pt>
                <c:pt idx="598">
                  <c:v>326.4472656</c:v>
                </c:pt>
                <c:pt idx="599">
                  <c:v>326.9931641</c:v>
                </c:pt>
                <c:pt idx="600">
                  <c:v>327.5390625</c:v>
                </c:pt>
                <c:pt idx="601">
                  <c:v>328.0849609</c:v>
                </c:pt>
                <c:pt idx="602">
                  <c:v>328.6308594</c:v>
                </c:pt>
                <c:pt idx="603">
                  <c:v>329.1767578</c:v>
                </c:pt>
                <c:pt idx="604">
                  <c:v>329.7226563</c:v>
                </c:pt>
                <c:pt idx="605">
                  <c:v>330.2685547</c:v>
                </c:pt>
                <c:pt idx="606">
                  <c:v>330.8144531</c:v>
                </c:pt>
                <c:pt idx="607">
                  <c:v>331.3603516</c:v>
                </c:pt>
                <c:pt idx="608">
                  <c:v>331.90625</c:v>
                </c:pt>
                <c:pt idx="609">
                  <c:v>332.4521484</c:v>
                </c:pt>
                <c:pt idx="610">
                  <c:v>332.9980469</c:v>
                </c:pt>
                <c:pt idx="611">
                  <c:v>333.5439453</c:v>
                </c:pt>
                <c:pt idx="612">
                  <c:v>334.0898438</c:v>
                </c:pt>
                <c:pt idx="613">
                  <c:v>334.6357422</c:v>
                </c:pt>
                <c:pt idx="614">
                  <c:v>335.1816406</c:v>
                </c:pt>
                <c:pt idx="615">
                  <c:v>335.7275391</c:v>
                </c:pt>
                <c:pt idx="616">
                  <c:v>336.2734375</c:v>
                </c:pt>
                <c:pt idx="617">
                  <c:v>336.8193359</c:v>
                </c:pt>
                <c:pt idx="618">
                  <c:v>337.3652344</c:v>
                </c:pt>
                <c:pt idx="619">
                  <c:v>337.9111328</c:v>
                </c:pt>
                <c:pt idx="620">
                  <c:v>338.4570313</c:v>
                </c:pt>
                <c:pt idx="621">
                  <c:v>339.0029297</c:v>
                </c:pt>
                <c:pt idx="622">
                  <c:v>339.5488281</c:v>
                </c:pt>
                <c:pt idx="623">
                  <c:v>340.0947266</c:v>
                </c:pt>
                <c:pt idx="624">
                  <c:v>340.640625</c:v>
                </c:pt>
                <c:pt idx="625">
                  <c:v>341.1865234</c:v>
                </c:pt>
                <c:pt idx="626">
                  <c:v>341.7324219</c:v>
                </c:pt>
                <c:pt idx="627">
                  <c:v>342.2783203</c:v>
                </c:pt>
                <c:pt idx="628">
                  <c:v>342.8242188</c:v>
                </c:pt>
                <c:pt idx="629">
                  <c:v>343.3701172</c:v>
                </c:pt>
                <c:pt idx="630">
                  <c:v>343.9160156</c:v>
                </c:pt>
                <c:pt idx="631">
                  <c:v>344.4619141</c:v>
                </c:pt>
                <c:pt idx="632">
                  <c:v>345.0078125</c:v>
                </c:pt>
                <c:pt idx="633">
                  <c:v>345.5537109</c:v>
                </c:pt>
                <c:pt idx="634">
                  <c:v>346.0996094</c:v>
                </c:pt>
                <c:pt idx="635">
                  <c:v>346.6455078</c:v>
                </c:pt>
                <c:pt idx="636">
                  <c:v>347.1914063</c:v>
                </c:pt>
                <c:pt idx="637">
                  <c:v>347.7373047</c:v>
                </c:pt>
                <c:pt idx="638">
                  <c:v>348.2832031</c:v>
                </c:pt>
                <c:pt idx="639">
                  <c:v>348.8291016</c:v>
                </c:pt>
                <c:pt idx="640">
                  <c:v>349.375</c:v>
                </c:pt>
                <c:pt idx="641">
                  <c:v>349.9208984</c:v>
                </c:pt>
                <c:pt idx="642">
                  <c:v>350.4667969</c:v>
                </c:pt>
                <c:pt idx="643">
                  <c:v>351.0126953</c:v>
                </c:pt>
                <c:pt idx="644">
                  <c:v>351.5585938</c:v>
                </c:pt>
                <c:pt idx="645">
                  <c:v>352.1044922</c:v>
                </c:pt>
                <c:pt idx="646">
                  <c:v>352.6503906</c:v>
                </c:pt>
                <c:pt idx="647">
                  <c:v>353.1962891</c:v>
                </c:pt>
                <c:pt idx="648">
                  <c:v>353.7421875</c:v>
                </c:pt>
                <c:pt idx="649">
                  <c:v>354.2880859</c:v>
                </c:pt>
                <c:pt idx="650">
                  <c:v>354.8339844</c:v>
                </c:pt>
                <c:pt idx="651">
                  <c:v>355.3798828</c:v>
                </c:pt>
                <c:pt idx="652">
                  <c:v>355.9257813</c:v>
                </c:pt>
                <c:pt idx="653">
                  <c:v>356.4716797</c:v>
                </c:pt>
                <c:pt idx="654">
                  <c:v>357.0175781</c:v>
                </c:pt>
                <c:pt idx="655">
                  <c:v>357.5634766</c:v>
                </c:pt>
                <c:pt idx="656">
                  <c:v>358.109375</c:v>
                </c:pt>
                <c:pt idx="657">
                  <c:v>358.6552734</c:v>
                </c:pt>
                <c:pt idx="658">
                  <c:v>359.2011719</c:v>
                </c:pt>
                <c:pt idx="659">
                  <c:v>359.7470703</c:v>
                </c:pt>
                <c:pt idx="660">
                  <c:v>360.2929688</c:v>
                </c:pt>
                <c:pt idx="661">
                  <c:v>360.8388672</c:v>
                </c:pt>
                <c:pt idx="662">
                  <c:v>361.3847656</c:v>
                </c:pt>
                <c:pt idx="663">
                  <c:v>361.9306641</c:v>
                </c:pt>
                <c:pt idx="664">
                  <c:v>362.4765625</c:v>
                </c:pt>
                <c:pt idx="665">
                  <c:v>363.0224609</c:v>
                </c:pt>
                <c:pt idx="666">
                  <c:v>363.5683594</c:v>
                </c:pt>
                <c:pt idx="667">
                  <c:v>364.1142578</c:v>
                </c:pt>
                <c:pt idx="668">
                  <c:v>364.6601563</c:v>
                </c:pt>
                <c:pt idx="669">
                  <c:v>365.2060547</c:v>
                </c:pt>
                <c:pt idx="670">
                  <c:v>365.7519531</c:v>
                </c:pt>
                <c:pt idx="671">
                  <c:v>366.2978516</c:v>
                </c:pt>
                <c:pt idx="672">
                  <c:v>366.84375</c:v>
                </c:pt>
                <c:pt idx="673">
                  <c:v>367.3896484</c:v>
                </c:pt>
                <c:pt idx="674">
                  <c:v>367.9355469</c:v>
                </c:pt>
                <c:pt idx="675">
                  <c:v>368.4814453</c:v>
                </c:pt>
                <c:pt idx="676">
                  <c:v>369.0273438</c:v>
                </c:pt>
                <c:pt idx="677">
                  <c:v>369.5732422</c:v>
                </c:pt>
                <c:pt idx="678">
                  <c:v>370.1191406</c:v>
                </c:pt>
                <c:pt idx="679">
                  <c:v>370.6650391</c:v>
                </c:pt>
                <c:pt idx="680">
                  <c:v>371.2109375</c:v>
                </c:pt>
                <c:pt idx="681">
                  <c:v>371.7568359</c:v>
                </c:pt>
                <c:pt idx="682">
                  <c:v>372.3027344</c:v>
                </c:pt>
                <c:pt idx="683">
                  <c:v>372.8486328</c:v>
                </c:pt>
                <c:pt idx="684">
                  <c:v>373.3945313</c:v>
                </c:pt>
                <c:pt idx="685">
                  <c:v>373.9404297</c:v>
                </c:pt>
                <c:pt idx="686">
                  <c:v>374.4863281</c:v>
                </c:pt>
                <c:pt idx="687">
                  <c:v>375.0322266</c:v>
                </c:pt>
                <c:pt idx="688">
                  <c:v>375.578125</c:v>
                </c:pt>
                <c:pt idx="689">
                  <c:v>376.1240234</c:v>
                </c:pt>
                <c:pt idx="690">
                  <c:v>376.6699219</c:v>
                </c:pt>
                <c:pt idx="691">
                  <c:v>377.2158203</c:v>
                </c:pt>
                <c:pt idx="692">
                  <c:v>377.7617188</c:v>
                </c:pt>
                <c:pt idx="693">
                  <c:v>378.3076172</c:v>
                </c:pt>
                <c:pt idx="694">
                  <c:v>378.8535156</c:v>
                </c:pt>
                <c:pt idx="695">
                  <c:v>379.3994141</c:v>
                </c:pt>
                <c:pt idx="696">
                  <c:v>379.9453125</c:v>
                </c:pt>
                <c:pt idx="697">
                  <c:v>380.4912109</c:v>
                </c:pt>
                <c:pt idx="698">
                  <c:v>381.0371094</c:v>
                </c:pt>
                <c:pt idx="699">
                  <c:v>381.5830078</c:v>
                </c:pt>
                <c:pt idx="700">
                  <c:v>382.1289063</c:v>
                </c:pt>
                <c:pt idx="701">
                  <c:v>382.6748047</c:v>
                </c:pt>
                <c:pt idx="702">
                  <c:v>383.2207031</c:v>
                </c:pt>
                <c:pt idx="703">
                  <c:v>383.7666016</c:v>
                </c:pt>
                <c:pt idx="704">
                  <c:v>384.3125</c:v>
                </c:pt>
                <c:pt idx="705">
                  <c:v>384.8583984</c:v>
                </c:pt>
                <c:pt idx="706">
                  <c:v>385.4042969</c:v>
                </c:pt>
                <c:pt idx="707">
                  <c:v>385.9501953</c:v>
                </c:pt>
                <c:pt idx="708">
                  <c:v>386.4960938</c:v>
                </c:pt>
                <c:pt idx="709">
                  <c:v>387.0419922</c:v>
                </c:pt>
                <c:pt idx="710">
                  <c:v>387.5878906</c:v>
                </c:pt>
                <c:pt idx="711">
                  <c:v>388.1337891</c:v>
                </c:pt>
                <c:pt idx="712">
                  <c:v>388.6796875</c:v>
                </c:pt>
                <c:pt idx="713">
                  <c:v>389.2255859</c:v>
                </c:pt>
                <c:pt idx="714">
                  <c:v>389.7714844</c:v>
                </c:pt>
                <c:pt idx="715">
                  <c:v>390.3173828</c:v>
                </c:pt>
                <c:pt idx="716">
                  <c:v>390.8632813</c:v>
                </c:pt>
                <c:pt idx="717">
                  <c:v>391.4091797</c:v>
                </c:pt>
                <c:pt idx="718">
                  <c:v>391.9550781</c:v>
                </c:pt>
                <c:pt idx="719">
                  <c:v>392.5009766</c:v>
                </c:pt>
                <c:pt idx="720">
                  <c:v>393.046875</c:v>
                </c:pt>
                <c:pt idx="721">
                  <c:v>393.5927734</c:v>
                </c:pt>
                <c:pt idx="722">
                  <c:v>394.1386719</c:v>
                </c:pt>
                <c:pt idx="723">
                  <c:v>394.6845703</c:v>
                </c:pt>
                <c:pt idx="724">
                  <c:v>395.2304688</c:v>
                </c:pt>
                <c:pt idx="725">
                  <c:v>395.7763672</c:v>
                </c:pt>
                <c:pt idx="726">
                  <c:v>396.3222656</c:v>
                </c:pt>
                <c:pt idx="727">
                  <c:v>396.8681641</c:v>
                </c:pt>
                <c:pt idx="728">
                  <c:v>397.4140625</c:v>
                </c:pt>
                <c:pt idx="729">
                  <c:v>397.9599609</c:v>
                </c:pt>
                <c:pt idx="730">
                  <c:v>398.5058594</c:v>
                </c:pt>
                <c:pt idx="731">
                  <c:v>399.0517578</c:v>
                </c:pt>
                <c:pt idx="732">
                  <c:v>399.5976563</c:v>
                </c:pt>
                <c:pt idx="733">
                  <c:v>400.1435547</c:v>
                </c:pt>
                <c:pt idx="734">
                  <c:v>400.6894531</c:v>
                </c:pt>
                <c:pt idx="735">
                  <c:v>401.2353516</c:v>
                </c:pt>
                <c:pt idx="736">
                  <c:v>401.78125</c:v>
                </c:pt>
                <c:pt idx="737">
                  <c:v>402.3271484</c:v>
                </c:pt>
                <c:pt idx="738">
                  <c:v>402.8730469</c:v>
                </c:pt>
                <c:pt idx="739">
                  <c:v>403.4189453</c:v>
                </c:pt>
                <c:pt idx="740">
                  <c:v>403.9648438</c:v>
                </c:pt>
                <c:pt idx="741">
                  <c:v>404.5107422</c:v>
                </c:pt>
                <c:pt idx="742">
                  <c:v>405.0566406</c:v>
                </c:pt>
                <c:pt idx="743">
                  <c:v>405.6025391</c:v>
                </c:pt>
                <c:pt idx="744">
                  <c:v>406.1484375</c:v>
                </c:pt>
                <c:pt idx="745">
                  <c:v>406.6943359</c:v>
                </c:pt>
                <c:pt idx="746">
                  <c:v>407.2402344</c:v>
                </c:pt>
                <c:pt idx="747">
                  <c:v>407.7861328</c:v>
                </c:pt>
                <c:pt idx="748">
                  <c:v>408.3320313</c:v>
                </c:pt>
                <c:pt idx="749">
                  <c:v>408.8779297</c:v>
                </c:pt>
                <c:pt idx="750">
                  <c:v>409.4238281</c:v>
                </c:pt>
                <c:pt idx="751">
                  <c:v>409.9697266</c:v>
                </c:pt>
                <c:pt idx="752">
                  <c:v>410.515625</c:v>
                </c:pt>
                <c:pt idx="753">
                  <c:v>411.0615234</c:v>
                </c:pt>
                <c:pt idx="754">
                  <c:v>411.6074219</c:v>
                </c:pt>
                <c:pt idx="755">
                  <c:v>412.1533203</c:v>
                </c:pt>
                <c:pt idx="756">
                  <c:v>412.6992188</c:v>
                </c:pt>
                <c:pt idx="757">
                  <c:v>413.2451172</c:v>
                </c:pt>
                <c:pt idx="758">
                  <c:v>413.7910156</c:v>
                </c:pt>
                <c:pt idx="759">
                  <c:v>414.3369141</c:v>
                </c:pt>
                <c:pt idx="760">
                  <c:v>414.8828125</c:v>
                </c:pt>
                <c:pt idx="761">
                  <c:v>415.4287109</c:v>
                </c:pt>
                <c:pt idx="762">
                  <c:v>415.9746094</c:v>
                </c:pt>
                <c:pt idx="763">
                  <c:v>416.5205078</c:v>
                </c:pt>
                <c:pt idx="764">
                  <c:v>417.0664063</c:v>
                </c:pt>
                <c:pt idx="765">
                  <c:v>417.6123047</c:v>
                </c:pt>
                <c:pt idx="766">
                  <c:v>418.1582031</c:v>
                </c:pt>
                <c:pt idx="767">
                  <c:v>418.7041016</c:v>
                </c:pt>
                <c:pt idx="768">
                  <c:v>419.25</c:v>
                </c:pt>
                <c:pt idx="769">
                  <c:v>419.7958984</c:v>
                </c:pt>
                <c:pt idx="770">
                  <c:v>420.3417969</c:v>
                </c:pt>
                <c:pt idx="771">
                  <c:v>420.8876953</c:v>
                </c:pt>
                <c:pt idx="772">
                  <c:v>421.4335938</c:v>
                </c:pt>
                <c:pt idx="773">
                  <c:v>421.9794922</c:v>
                </c:pt>
                <c:pt idx="774">
                  <c:v>422.5253906</c:v>
                </c:pt>
                <c:pt idx="775">
                  <c:v>423.0712891</c:v>
                </c:pt>
                <c:pt idx="776">
                  <c:v>423.6171875</c:v>
                </c:pt>
                <c:pt idx="777">
                  <c:v>424.1630859</c:v>
                </c:pt>
                <c:pt idx="778">
                  <c:v>424.7089844</c:v>
                </c:pt>
                <c:pt idx="779">
                  <c:v>425.2548828</c:v>
                </c:pt>
                <c:pt idx="780">
                  <c:v>425.8007813</c:v>
                </c:pt>
                <c:pt idx="781">
                  <c:v>426.3466797</c:v>
                </c:pt>
                <c:pt idx="782">
                  <c:v>426.8925781</c:v>
                </c:pt>
                <c:pt idx="783">
                  <c:v>427.4384766</c:v>
                </c:pt>
                <c:pt idx="784">
                  <c:v>427.984375</c:v>
                </c:pt>
                <c:pt idx="785">
                  <c:v>428.5302734</c:v>
                </c:pt>
                <c:pt idx="786">
                  <c:v>429.0761719</c:v>
                </c:pt>
                <c:pt idx="787">
                  <c:v>429.6220703</c:v>
                </c:pt>
                <c:pt idx="788">
                  <c:v>430.1679688</c:v>
                </c:pt>
                <c:pt idx="789">
                  <c:v>430.7138672</c:v>
                </c:pt>
                <c:pt idx="790">
                  <c:v>431.2597656</c:v>
                </c:pt>
                <c:pt idx="791">
                  <c:v>431.8056641</c:v>
                </c:pt>
                <c:pt idx="792">
                  <c:v>432.3515625</c:v>
                </c:pt>
                <c:pt idx="793">
                  <c:v>432.8974609</c:v>
                </c:pt>
                <c:pt idx="794">
                  <c:v>433.4433594</c:v>
                </c:pt>
                <c:pt idx="795">
                  <c:v>433.9892578</c:v>
                </c:pt>
                <c:pt idx="796">
                  <c:v>434.5351563</c:v>
                </c:pt>
                <c:pt idx="797">
                  <c:v>435.0810547</c:v>
                </c:pt>
                <c:pt idx="798">
                  <c:v>435.6269531</c:v>
                </c:pt>
                <c:pt idx="799">
                  <c:v>436.1728516</c:v>
                </c:pt>
                <c:pt idx="800">
                  <c:v>436.71875</c:v>
                </c:pt>
                <c:pt idx="801">
                  <c:v>437.2646484</c:v>
                </c:pt>
                <c:pt idx="802">
                  <c:v>437.8105469</c:v>
                </c:pt>
                <c:pt idx="803">
                  <c:v>438.3564453</c:v>
                </c:pt>
                <c:pt idx="804">
                  <c:v>438.9023438</c:v>
                </c:pt>
                <c:pt idx="805">
                  <c:v>439.4482422</c:v>
                </c:pt>
                <c:pt idx="806">
                  <c:v>439.9941406</c:v>
                </c:pt>
                <c:pt idx="807">
                  <c:v>440.5400391</c:v>
                </c:pt>
                <c:pt idx="808">
                  <c:v>441.0859375</c:v>
                </c:pt>
                <c:pt idx="809">
                  <c:v>441.6318359</c:v>
                </c:pt>
                <c:pt idx="810">
                  <c:v>442.1777344</c:v>
                </c:pt>
                <c:pt idx="811">
                  <c:v>442.7236328</c:v>
                </c:pt>
                <c:pt idx="812">
                  <c:v>443.2695313</c:v>
                </c:pt>
                <c:pt idx="813">
                  <c:v>443.8154297</c:v>
                </c:pt>
                <c:pt idx="814">
                  <c:v>444.3613281</c:v>
                </c:pt>
                <c:pt idx="815">
                  <c:v>444.9072266</c:v>
                </c:pt>
                <c:pt idx="816">
                  <c:v>445.453125</c:v>
                </c:pt>
                <c:pt idx="817">
                  <c:v>445.9990234</c:v>
                </c:pt>
                <c:pt idx="818">
                  <c:v>446.5449219</c:v>
                </c:pt>
                <c:pt idx="819">
                  <c:v>447.0908203</c:v>
                </c:pt>
                <c:pt idx="820">
                  <c:v>447.6367188</c:v>
                </c:pt>
                <c:pt idx="821">
                  <c:v>448.1826172</c:v>
                </c:pt>
                <c:pt idx="822">
                  <c:v>448.7285156</c:v>
                </c:pt>
                <c:pt idx="823">
                  <c:v>449.2744141</c:v>
                </c:pt>
                <c:pt idx="824">
                  <c:v>449.8203125</c:v>
                </c:pt>
                <c:pt idx="825">
                  <c:v>450.3662109</c:v>
                </c:pt>
                <c:pt idx="826">
                  <c:v>450.9121094</c:v>
                </c:pt>
                <c:pt idx="827">
                  <c:v>451.4580078</c:v>
                </c:pt>
                <c:pt idx="828">
                  <c:v>452.0039063</c:v>
                </c:pt>
                <c:pt idx="829">
                  <c:v>452.5498047</c:v>
                </c:pt>
                <c:pt idx="830">
                  <c:v>453.0957031</c:v>
                </c:pt>
                <c:pt idx="831">
                  <c:v>453.6416016</c:v>
                </c:pt>
                <c:pt idx="832">
                  <c:v>454.1875</c:v>
                </c:pt>
                <c:pt idx="833">
                  <c:v>454.7333984</c:v>
                </c:pt>
                <c:pt idx="834">
                  <c:v>455.2792969</c:v>
                </c:pt>
                <c:pt idx="835">
                  <c:v>455.8251953</c:v>
                </c:pt>
                <c:pt idx="836">
                  <c:v>456.3710938</c:v>
                </c:pt>
                <c:pt idx="837">
                  <c:v>456.9169922</c:v>
                </c:pt>
                <c:pt idx="838">
                  <c:v>457.4628906</c:v>
                </c:pt>
                <c:pt idx="839">
                  <c:v>458.0087891</c:v>
                </c:pt>
                <c:pt idx="840">
                  <c:v>458.5546875</c:v>
                </c:pt>
                <c:pt idx="841">
                  <c:v>459.1005859</c:v>
                </c:pt>
                <c:pt idx="842">
                  <c:v>459.6464844</c:v>
                </c:pt>
                <c:pt idx="843">
                  <c:v>460.1923828</c:v>
                </c:pt>
                <c:pt idx="844">
                  <c:v>460.7382813</c:v>
                </c:pt>
                <c:pt idx="845">
                  <c:v>461.2841797</c:v>
                </c:pt>
                <c:pt idx="846">
                  <c:v>461.8300781</c:v>
                </c:pt>
                <c:pt idx="847">
                  <c:v>462.3759766</c:v>
                </c:pt>
                <c:pt idx="848">
                  <c:v>462.921875</c:v>
                </c:pt>
                <c:pt idx="849">
                  <c:v>463.4677734</c:v>
                </c:pt>
                <c:pt idx="850">
                  <c:v>464.0136719</c:v>
                </c:pt>
                <c:pt idx="851">
                  <c:v>464.5595703</c:v>
                </c:pt>
                <c:pt idx="852">
                  <c:v>465.1054688</c:v>
                </c:pt>
                <c:pt idx="853">
                  <c:v>465.6513672</c:v>
                </c:pt>
                <c:pt idx="854">
                  <c:v>466.1972656</c:v>
                </c:pt>
                <c:pt idx="855">
                  <c:v>466.7431641</c:v>
                </c:pt>
                <c:pt idx="856">
                  <c:v>467.2890625</c:v>
                </c:pt>
                <c:pt idx="857">
                  <c:v>467.8349609</c:v>
                </c:pt>
                <c:pt idx="858">
                  <c:v>468.3808594</c:v>
                </c:pt>
                <c:pt idx="859">
                  <c:v>468.9267578</c:v>
                </c:pt>
                <c:pt idx="860">
                  <c:v>469.4726563</c:v>
                </c:pt>
                <c:pt idx="861">
                  <c:v>470.0185547</c:v>
                </c:pt>
                <c:pt idx="862">
                  <c:v>470.5644531</c:v>
                </c:pt>
                <c:pt idx="863">
                  <c:v>471.1103516</c:v>
                </c:pt>
                <c:pt idx="864">
                  <c:v>471.65625</c:v>
                </c:pt>
                <c:pt idx="865">
                  <c:v>472.2021484</c:v>
                </c:pt>
                <c:pt idx="866">
                  <c:v>472.7480469</c:v>
                </c:pt>
                <c:pt idx="867">
                  <c:v>473.2939453</c:v>
                </c:pt>
                <c:pt idx="868">
                  <c:v>473.8398438</c:v>
                </c:pt>
                <c:pt idx="869">
                  <c:v>474.3857422</c:v>
                </c:pt>
                <c:pt idx="870">
                  <c:v>474.9316406</c:v>
                </c:pt>
                <c:pt idx="871">
                  <c:v>475.4775391</c:v>
                </c:pt>
                <c:pt idx="872">
                  <c:v>476.0234375</c:v>
                </c:pt>
                <c:pt idx="873">
                  <c:v>476.5693359</c:v>
                </c:pt>
                <c:pt idx="874">
                  <c:v>477.1152344</c:v>
                </c:pt>
                <c:pt idx="875">
                  <c:v>477.6611328</c:v>
                </c:pt>
                <c:pt idx="876">
                  <c:v>478.2070313</c:v>
                </c:pt>
                <c:pt idx="877">
                  <c:v>478.7529297</c:v>
                </c:pt>
                <c:pt idx="878">
                  <c:v>479.2988281</c:v>
                </c:pt>
                <c:pt idx="879">
                  <c:v>479.8447266</c:v>
                </c:pt>
                <c:pt idx="880">
                  <c:v>480.390625</c:v>
                </c:pt>
                <c:pt idx="881">
                  <c:v>480.9365234</c:v>
                </c:pt>
                <c:pt idx="882">
                  <c:v>481.4824219</c:v>
                </c:pt>
                <c:pt idx="883">
                  <c:v>482.0283203</c:v>
                </c:pt>
                <c:pt idx="884">
                  <c:v>482.5742188</c:v>
                </c:pt>
                <c:pt idx="885">
                  <c:v>483.1201172</c:v>
                </c:pt>
                <c:pt idx="886">
                  <c:v>483.6660156</c:v>
                </c:pt>
                <c:pt idx="887">
                  <c:v>484.2119141</c:v>
                </c:pt>
                <c:pt idx="888">
                  <c:v>484.7578125</c:v>
                </c:pt>
                <c:pt idx="889">
                  <c:v>485.3037109</c:v>
                </c:pt>
                <c:pt idx="890">
                  <c:v>485.8496094</c:v>
                </c:pt>
                <c:pt idx="891">
                  <c:v>486.3955078</c:v>
                </c:pt>
                <c:pt idx="892">
                  <c:v>486.9414063</c:v>
                </c:pt>
                <c:pt idx="893">
                  <c:v>487.4873047</c:v>
                </c:pt>
                <c:pt idx="894">
                  <c:v>488.0332031</c:v>
                </c:pt>
                <c:pt idx="895">
                  <c:v>488.5791016</c:v>
                </c:pt>
                <c:pt idx="896">
                  <c:v>489.125</c:v>
                </c:pt>
                <c:pt idx="897">
                  <c:v>489.6708984</c:v>
                </c:pt>
                <c:pt idx="898">
                  <c:v>490.2167969</c:v>
                </c:pt>
                <c:pt idx="899">
                  <c:v>490.7626953</c:v>
                </c:pt>
                <c:pt idx="900">
                  <c:v>491.3085938</c:v>
                </c:pt>
                <c:pt idx="901">
                  <c:v>491.8544922</c:v>
                </c:pt>
                <c:pt idx="902">
                  <c:v>492.4003906</c:v>
                </c:pt>
                <c:pt idx="903">
                  <c:v>492.9462891</c:v>
                </c:pt>
                <c:pt idx="904">
                  <c:v>493.4921875</c:v>
                </c:pt>
                <c:pt idx="905">
                  <c:v>494.0380859</c:v>
                </c:pt>
                <c:pt idx="906">
                  <c:v>494.5839844</c:v>
                </c:pt>
                <c:pt idx="907">
                  <c:v>495.1298828</c:v>
                </c:pt>
                <c:pt idx="908">
                  <c:v>495.6757813</c:v>
                </c:pt>
                <c:pt idx="909">
                  <c:v>496.2216797</c:v>
                </c:pt>
                <c:pt idx="910">
                  <c:v>496.7675781</c:v>
                </c:pt>
                <c:pt idx="911">
                  <c:v>497.3134766</c:v>
                </c:pt>
                <c:pt idx="912">
                  <c:v>497.859375</c:v>
                </c:pt>
                <c:pt idx="913">
                  <c:v>498.4052734</c:v>
                </c:pt>
                <c:pt idx="914">
                  <c:v>498.9511719</c:v>
                </c:pt>
                <c:pt idx="915">
                  <c:v>499.4970703</c:v>
                </c:pt>
                <c:pt idx="916">
                  <c:v>500.0429688</c:v>
                </c:pt>
                <c:pt idx="917">
                  <c:v>500.5888672</c:v>
                </c:pt>
                <c:pt idx="918">
                  <c:v>501.1347656</c:v>
                </c:pt>
                <c:pt idx="919">
                  <c:v>501.6806641</c:v>
                </c:pt>
                <c:pt idx="920">
                  <c:v>502.2265625</c:v>
                </c:pt>
                <c:pt idx="921">
                  <c:v>502.7724609</c:v>
                </c:pt>
                <c:pt idx="922">
                  <c:v>503.3183594</c:v>
                </c:pt>
                <c:pt idx="923">
                  <c:v>503.8642578</c:v>
                </c:pt>
                <c:pt idx="924">
                  <c:v>504.4101563</c:v>
                </c:pt>
                <c:pt idx="925">
                  <c:v>504.9560547</c:v>
                </c:pt>
                <c:pt idx="926">
                  <c:v>505.5019531</c:v>
                </c:pt>
                <c:pt idx="927">
                  <c:v>506.0478516</c:v>
                </c:pt>
                <c:pt idx="928">
                  <c:v>506.59375</c:v>
                </c:pt>
                <c:pt idx="929">
                  <c:v>507.1396484</c:v>
                </c:pt>
                <c:pt idx="930">
                  <c:v>507.6855469</c:v>
                </c:pt>
                <c:pt idx="931">
                  <c:v>508.2314453</c:v>
                </c:pt>
                <c:pt idx="932">
                  <c:v>508.7773438</c:v>
                </c:pt>
                <c:pt idx="933">
                  <c:v>509.3232422</c:v>
                </c:pt>
                <c:pt idx="934">
                  <c:v>509.8691406</c:v>
                </c:pt>
                <c:pt idx="935">
                  <c:v>510.4150391</c:v>
                </c:pt>
                <c:pt idx="936">
                  <c:v>510.9609375</c:v>
                </c:pt>
                <c:pt idx="937">
                  <c:v>511.5068359</c:v>
                </c:pt>
                <c:pt idx="938">
                  <c:v>512.0527344</c:v>
                </c:pt>
                <c:pt idx="939">
                  <c:v>512.5986328</c:v>
                </c:pt>
                <c:pt idx="940">
                  <c:v>513.1445313</c:v>
                </c:pt>
                <c:pt idx="941">
                  <c:v>513.6904297</c:v>
                </c:pt>
                <c:pt idx="942">
                  <c:v>514.2363281</c:v>
                </c:pt>
                <c:pt idx="943">
                  <c:v>514.7822266</c:v>
                </c:pt>
                <c:pt idx="944">
                  <c:v>515.328125</c:v>
                </c:pt>
                <c:pt idx="945">
                  <c:v>515.8740234</c:v>
                </c:pt>
                <c:pt idx="946">
                  <c:v>516.4199219</c:v>
                </c:pt>
                <c:pt idx="947">
                  <c:v>516.9658203</c:v>
                </c:pt>
                <c:pt idx="948">
                  <c:v>517.5117188</c:v>
                </c:pt>
                <c:pt idx="949">
                  <c:v>518.0576172</c:v>
                </c:pt>
                <c:pt idx="950">
                  <c:v>518.6035156</c:v>
                </c:pt>
                <c:pt idx="951">
                  <c:v>519.1494141</c:v>
                </c:pt>
                <c:pt idx="952">
                  <c:v>519.6953125</c:v>
                </c:pt>
                <c:pt idx="953">
                  <c:v>520.2412109</c:v>
                </c:pt>
                <c:pt idx="954">
                  <c:v>520.7871094</c:v>
                </c:pt>
                <c:pt idx="955">
                  <c:v>521.3330078</c:v>
                </c:pt>
                <c:pt idx="956">
                  <c:v>521.8789063</c:v>
                </c:pt>
                <c:pt idx="957">
                  <c:v>522.4248047</c:v>
                </c:pt>
                <c:pt idx="958">
                  <c:v>522.9707031</c:v>
                </c:pt>
                <c:pt idx="959">
                  <c:v>523.5166016</c:v>
                </c:pt>
                <c:pt idx="960">
                  <c:v>524.0625</c:v>
                </c:pt>
                <c:pt idx="961">
                  <c:v>524.6083984</c:v>
                </c:pt>
                <c:pt idx="962">
                  <c:v>525.1542969</c:v>
                </c:pt>
                <c:pt idx="963">
                  <c:v>525.7001953</c:v>
                </c:pt>
                <c:pt idx="964">
                  <c:v>526.2460938</c:v>
                </c:pt>
                <c:pt idx="965">
                  <c:v>526.7919922</c:v>
                </c:pt>
                <c:pt idx="966">
                  <c:v>527.3378906</c:v>
                </c:pt>
                <c:pt idx="967">
                  <c:v>527.8837891</c:v>
                </c:pt>
                <c:pt idx="968">
                  <c:v>528.4296875</c:v>
                </c:pt>
                <c:pt idx="969">
                  <c:v>528.9755859</c:v>
                </c:pt>
                <c:pt idx="970">
                  <c:v>529.5214844</c:v>
                </c:pt>
                <c:pt idx="971">
                  <c:v>530.0673828</c:v>
                </c:pt>
                <c:pt idx="972">
                  <c:v>530.6132813</c:v>
                </c:pt>
                <c:pt idx="973">
                  <c:v>531.1591797</c:v>
                </c:pt>
                <c:pt idx="974">
                  <c:v>531.7050781</c:v>
                </c:pt>
                <c:pt idx="975">
                  <c:v>532.2509766</c:v>
                </c:pt>
                <c:pt idx="976">
                  <c:v>532.796875</c:v>
                </c:pt>
                <c:pt idx="977">
                  <c:v>533.3427734</c:v>
                </c:pt>
                <c:pt idx="978">
                  <c:v>533.8886719</c:v>
                </c:pt>
                <c:pt idx="979">
                  <c:v>534.4345703</c:v>
                </c:pt>
                <c:pt idx="980">
                  <c:v>534.9804688</c:v>
                </c:pt>
                <c:pt idx="981">
                  <c:v>535.5263672</c:v>
                </c:pt>
                <c:pt idx="982">
                  <c:v>536.0722656</c:v>
                </c:pt>
                <c:pt idx="983">
                  <c:v>536.6181641</c:v>
                </c:pt>
                <c:pt idx="984">
                  <c:v>537.1640625</c:v>
                </c:pt>
                <c:pt idx="985">
                  <c:v>537.7099609</c:v>
                </c:pt>
                <c:pt idx="986">
                  <c:v>538.2558594</c:v>
                </c:pt>
                <c:pt idx="987">
                  <c:v>538.8017578</c:v>
                </c:pt>
                <c:pt idx="988">
                  <c:v>539.3476563</c:v>
                </c:pt>
                <c:pt idx="989">
                  <c:v>539.8935547</c:v>
                </c:pt>
                <c:pt idx="990">
                  <c:v>540.4394531</c:v>
                </c:pt>
                <c:pt idx="991">
                  <c:v>540.9853516</c:v>
                </c:pt>
                <c:pt idx="992">
                  <c:v>541.53125</c:v>
                </c:pt>
                <c:pt idx="993">
                  <c:v>542.0771484</c:v>
                </c:pt>
                <c:pt idx="994">
                  <c:v>542.6230469</c:v>
                </c:pt>
                <c:pt idx="995">
                  <c:v>543.1689453</c:v>
                </c:pt>
                <c:pt idx="996">
                  <c:v>543.7148438</c:v>
                </c:pt>
                <c:pt idx="997">
                  <c:v>544.2607422</c:v>
                </c:pt>
                <c:pt idx="998">
                  <c:v>544.8066406</c:v>
                </c:pt>
                <c:pt idx="999">
                  <c:v>545.3525391</c:v>
                </c:pt>
                <c:pt idx="1000">
                  <c:v>545.8984375</c:v>
                </c:pt>
                <c:pt idx="1001">
                  <c:v>546.4443359</c:v>
                </c:pt>
                <c:pt idx="1002">
                  <c:v>546.9902344</c:v>
                </c:pt>
                <c:pt idx="1003">
                  <c:v>547.5361328</c:v>
                </c:pt>
                <c:pt idx="1004">
                  <c:v>548.0820313</c:v>
                </c:pt>
                <c:pt idx="1005">
                  <c:v>548.6279297</c:v>
                </c:pt>
                <c:pt idx="1006">
                  <c:v>549.1738281</c:v>
                </c:pt>
                <c:pt idx="1007">
                  <c:v>549.7197266</c:v>
                </c:pt>
                <c:pt idx="1008">
                  <c:v>550.265625</c:v>
                </c:pt>
                <c:pt idx="1009">
                  <c:v>550.8115234</c:v>
                </c:pt>
                <c:pt idx="1010">
                  <c:v>551.3574219</c:v>
                </c:pt>
                <c:pt idx="1011">
                  <c:v>551.9033203</c:v>
                </c:pt>
                <c:pt idx="1012">
                  <c:v>552.4492188</c:v>
                </c:pt>
                <c:pt idx="1013">
                  <c:v>552.9951172</c:v>
                </c:pt>
                <c:pt idx="1014">
                  <c:v>553.5410156</c:v>
                </c:pt>
                <c:pt idx="1015">
                  <c:v>554.0869141</c:v>
                </c:pt>
                <c:pt idx="1016">
                  <c:v>554.6328125</c:v>
                </c:pt>
                <c:pt idx="1017">
                  <c:v>555.1787109</c:v>
                </c:pt>
                <c:pt idx="1018">
                  <c:v>555.7246094</c:v>
                </c:pt>
                <c:pt idx="1019">
                  <c:v>556.2705078</c:v>
                </c:pt>
                <c:pt idx="1020">
                  <c:v>556.8164063</c:v>
                </c:pt>
                <c:pt idx="1021">
                  <c:v>557.3623047</c:v>
                </c:pt>
                <c:pt idx="1022">
                  <c:v>557.9082031</c:v>
                </c:pt>
                <c:pt idx="1023">
                  <c:v>558.4541016</c:v>
                </c:pt>
                <c:pt idx="1024">
                  <c:v>Diğer</c:v>
                </c:pt>
              </c:strCache>
            </c:strRef>
          </c:cat>
          <c:val>
            <c:numRef>
              <c:f>'Histogram Analizi'!$B$2:$B$1026</c:f>
              <c:numCache>
                <c:formatCode>General</c:formatCode>
                <c:ptCount val="1025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9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6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6</c:v>
                </c:pt>
                <c:pt idx="31">
                  <c:v>0</c:v>
                </c:pt>
                <c:pt idx="32">
                  <c:v>6</c:v>
                </c:pt>
                <c:pt idx="33">
                  <c:v>4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6</c:v>
                </c:pt>
                <c:pt idx="38">
                  <c:v>0</c:v>
                </c:pt>
                <c:pt idx="39">
                  <c:v>6</c:v>
                </c:pt>
                <c:pt idx="40">
                  <c:v>0</c:v>
                </c:pt>
                <c:pt idx="41">
                  <c:v>6</c:v>
                </c:pt>
                <c:pt idx="42">
                  <c:v>0</c:v>
                </c:pt>
                <c:pt idx="43">
                  <c:v>9</c:v>
                </c:pt>
                <c:pt idx="44">
                  <c:v>11</c:v>
                </c:pt>
                <c:pt idx="45">
                  <c:v>0</c:v>
                </c:pt>
                <c:pt idx="46">
                  <c:v>6</c:v>
                </c:pt>
                <c:pt idx="47">
                  <c:v>0</c:v>
                </c:pt>
                <c:pt idx="48">
                  <c:v>7</c:v>
                </c:pt>
                <c:pt idx="49">
                  <c:v>0</c:v>
                </c:pt>
                <c:pt idx="50">
                  <c:v>5</c:v>
                </c:pt>
                <c:pt idx="51">
                  <c:v>0</c:v>
                </c:pt>
                <c:pt idx="52">
                  <c:v>5</c:v>
                </c:pt>
                <c:pt idx="53">
                  <c:v>0</c:v>
                </c:pt>
                <c:pt idx="54">
                  <c:v>3</c:v>
                </c:pt>
                <c:pt idx="55">
                  <c:v>8</c:v>
                </c:pt>
                <c:pt idx="56">
                  <c:v>0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  <c:pt idx="60">
                  <c:v>0</c:v>
                </c:pt>
                <c:pt idx="61">
                  <c:v>5</c:v>
                </c:pt>
                <c:pt idx="62">
                  <c:v>0</c:v>
                </c:pt>
                <c:pt idx="63">
                  <c:v>5</c:v>
                </c:pt>
                <c:pt idx="64">
                  <c:v>0</c:v>
                </c:pt>
                <c:pt idx="65">
                  <c:v>5</c:v>
                </c:pt>
                <c:pt idx="66">
                  <c:v>3</c:v>
                </c:pt>
                <c:pt idx="67">
                  <c:v>0</c:v>
                </c:pt>
                <c:pt idx="68">
                  <c:v>8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3</c:v>
                </c:pt>
                <c:pt idx="73">
                  <c:v>0</c:v>
                </c:pt>
                <c:pt idx="74">
                  <c:v>5</c:v>
                </c:pt>
                <c:pt idx="75">
                  <c:v>0</c:v>
                </c:pt>
                <c:pt idx="76">
                  <c:v>1</c:v>
                </c:pt>
                <c:pt idx="77">
                  <c:v>10</c:v>
                </c:pt>
                <c:pt idx="78">
                  <c:v>0</c:v>
                </c:pt>
                <c:pt idx="79">
                  <c:v>7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5</c:v>
                </c:pt>
                <c:pt idx="84">
                  <c:v>0</c:v>
                </c:pt>
                <c:pt idx="85">
                  <c:v>4</c:v>
                </c:pt>
                <c:pt idx="86">
                  <c:v>0</c:v>
                </c:pt>
                <c:pt idx="87">
                  <c:v>4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2</c:v>
                </c:pt>
                <c:pt idx="99">
                  <c:v>7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4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0</c:v>
                </c:pt>
                <c:pt idx="112">
                  <c:v>3</c:v>
                </c:pt>
                <c:pt idx="113">
                  <c:v>0</c:v>
                </c:pt>
                <c:pt idx="114">
                  <c:v>9</c:v>
                </c:pt>
                <c:pt idx="115">
                  <c:v>0</c:v>
                </c:pt>
                <c:pt idx="116">
                  <c:v>4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4</c:v>
                </c:pt>
                <c:pt idx="121">
                  <c:v>3</c:v>
                </c:pt>
                <c:pt idx="122">
                  <c:v>0</c:v>
                </c:pt>
                <c:pt idx="123">
                  <c:v>5</c:v>
                </c:pt>
                <c:pt idx="124">
                  <c:v>0</c:v>
                </c:pt>
                <c:pt idx="125">
                  <c:v>3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6</c:v>
                </c:pt>
                <c:pt idx="130">
                  <c:v>0</c:v>
                </c:pt>
                <c:pt idx="131">
                  <c:v>3</c:v>
                </c:pt>
                <c:pt idx="132">
                  <c:v>1</c:v>
                </c:pt>
                <c:pt idx="133">
                  <c:v>0</c:v>
                </c:pt>
                <c:pt idx="134">
                  <c:v>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5</c:v>
                </c:pt>
                <c:pt idx="141">
                  <c:v>0</c:v>
                </c:pt>
                <c:pt idx="142">
                  <c:v>3</c:v>
                </c:pt>
                <c:pt idx="143">
                  <c:v>3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3</c:v>
                </c:pt>
                <c:pt idx="148">
                  <c:v>0</c:v>
                </c:pt>
                <c:pt idx="149">
                  <c:v>9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2</c:v>
                </c:pt>
                <c:pt idx="154">
                  <c:v>6</c:v>
                </c:pt>
                <c:pt idx="155">
                  <c:v>0</c:v>
                </c:pt>
                <c:pt idx="156">
                  <c:v>3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3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4</c:v>
                </c:pt>
                <c:pt idx="165">
                  <c:v>2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3</c:v>
                </c:pt>
                <c:pt idx="172">
                  <c:v>0</c:v>
                </c:pt>
                <c:pt idx="173">
                  <c:v>2</c:v>
                </c:pt>
                <c:pt idx="174">
                  <c:v>0</c:v>
                </c:pt>
                <c:pt idx="175">
                  <c:v>3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3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4</c:v>
                </c:pt>
                <c:pt idx="187">
                  <c:v>1</c:v>
                </c:pt>
                <c:pt idx="188">
                  <c:v>0</c:v>
                </c:pt>
                <c:pt idx="189">
                  <c:v>2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4</c:v>
                </c:pt>
                <c:pt idx="196">
                  <c:v>0</c:v>
                </c:pt>
                <c:pt idx="197">
                  <c:v>2</c:v>
                </c:pt>
                <c:pt idx="198">
                  <c:v>4</c:v>
                </c:pt>
                <c:pt idx="199">
                  <c:v>0</c:v>
                </c:pt>
                <c:pt idx="200">
                  <c:v>2</c:v>
                </c:pt>
                <c:pt idx="201">
                  <c:v>0</c:v>
                </c:pt>
                <c:pt idx="202">
                  <c:v>3</c:v>
                </c:pt>
                <c:pt idx="203">
                  <c:v>0</c:v>
                </c:pt>
                <c:pt idx="204">
                  <c:v>7</c:v>
                </c:pt>
                <c:pt idx="205">
                  <c:v>0</c:v>
                </c:pt>
                <c:pt idx="206">
                  <c:v>1</c:v>
                </c:pt>
                <c:pt idx="207">
                  <c:v>5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3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3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6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3</c:v>
                </c:pt>
                <c:pt idx="251">
                  <c:v>2</c:v>
                </c:pt>
                <c:pt idx="252">
                  <c:v>0</c:v>
                </c:pt>
                <c:pt idx="253">
                  <c:v>2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</c:v>
                </c:pt>
                <c:pt idx="262">
                  <c:v>2</c:v>
                </c:pt>
                <c:pt idx="263">
                  <c:v>0</c:v>
                </c:pt>
                <c:pt idx="264">
                  <c:v>4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2</c:v>
                </c:pt>
                <c:pt idx="269">
                  <c:v>0</c:v>
                </c:pt>
                <c:pt idx="270">
                  <c:v>5</c:v>
                </c:pt>
                <c:pt idx="271">
                  <c:v>0</c:v>
                </c:pt>
                <c:pt idx="272">
                  <c:v>2</c:v>
                </c:pt>
                <c:pt idx="273">
                  <c:v>2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</c:v>
                </c:pt>
                <c:pt idx="284">
                  <c:v>2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2</c:v>
                </c:pt>
                <c:pt idx="296">
                  <c:v>0</c:v>
                </c:pt>
                <c:pt idx="297">
                  <c:v>3</c:v>
                </c:pt>
                <c:pt idx="298">
                  <c:v>0</c:v>
                </c:pt>
                <c:pt idx="299">
                  <c:v>3</c:v>
                </c:pt>
                <c:pt idx="300">
                  <c:v>0</c:v>
                </c:pt>
                <c:pt idx="301">
                  <c:v>6</c:v>
                </c:pt>
                <c:pt idx="302">
                  <c:v>0</c:v>
                </c:pt>
                <c:pt idx="303">
                  <c:v>4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4</c:v>
                </c:pt>
                <c:pt idx="317">
                  <c:v>2</c:v>
                </c:pt>
                <c:pt idx="318">
                  <c:v>0</c:v>
                </c:pt>
                <c:pt idx="319">
                  <c:v>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2</c:v>
                </c:pt>
                <c:pt idx="329">
                  <c:v>0</c:v>
                </c:pt>
                <c:pt idx="330">
                  <c:v>3</c:v>
                </c:pt>
                <c:pt idx="331">
                  <c:v>0</c:v>
                </c:pt>
                <c:pt idx="332">
                  <c:v>2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</c:v>
                </c:pt>
                <c:pt idx="339">
                  <c:v>3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3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2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2</c:v>
                </c:pt>
                <c:pt idx="362">
                  <c:v>0</c:v>
                </c:pt>
                <c:pt idx="363">
                  <c:v>2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2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5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2</c:v>
                </c:pt>
                <c:pt idx="425">
                  <c:v>1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2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2</c:v>
                </c:pt>
                <c:pt idx="452">
                  <c:v>0</c:v>
                </c:pt>
                <c:pt idx="453">
                  <c:v>2</c:v>
                </c:pt>
                <c:pt idx="454">
                  <c:v>0</c:v>
                </c:pt>
                <c:pt idx="455">
                  <c:v>2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</c:v>
                </c:pt>
                <c:pt idx="496">
                  <c:v>0</c:v>
                </c:pt>
                <c:pt idx="497">
                  <c:v>3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2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2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2</c:v>
                </c:pt>
                <c:pt idx="557">
                  <c:v>0</c:v>
                </c:pt>
                <c:pt idx="558">
                  <c:v>0</c:v>
                </c:pt>
                <c:pt idx="559">
                  <c:v>2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</c:v>
                </c:pt>
                <c:pt idx="608">
                  <c:v>0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2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4-45F4-8F6A-D27880D68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369056"/>
        <c:axId val="277362336"/>
      </c:barChart>
      <c:lineChart>
        <c:grouping val="standard"/>
        <c:varyColors val="0"/>
        <c:ser>
          <c:idx val="1"/>
          <c:order val="1"/>
          <c:tx>
            <c:v>Kümülatif %</c:v>
          </c:tx>
          <c:cat>
            <c:strRef>
              <c:f>'Histogram Analizi'!$A$2:$A$1026</c:f>
              <c:strCache>
                <c:ptCount val="1025"/>
                <c:pt idx="0">
                  <c:v>0</c:v>
                </c:pt>
                <c:pt idx="1">
                  <c:v>0.545898438</c:v>
                </c:pt>
                <c:pt idx="2">
                  <c:v>1.091796875</c:v>
                </c:pt>
                <c:pt idx="3">
                  <c:v>1.637695313</c:v>
                </c:pt>
                <c:pt idx="4">
                  <c:v>2.18359375</c:v>
                </c:pt>
                <c:pt idx="5">
                  <c:v>2.729492188</c:v>
                </c:pt>
                <c:pt idx="6">
                  <c:v>3.275390625</c:v>
                </c:pt>
                <c:pt idx="7">
                  <c:v>3.821289063</c:v>
                </c:pt>
                <c:pt idx="8">
                  <c:v>4.3671875</c:v>
                </c:pt>
                <c:pt idx="9">
                  <c:v>4.913085938</c:v>
                </c:pt>
                <c:pt idx="10">
                  <c:v>5.458984375</c:v>
                </c:pt>
                <c:pt idx="11">
                  <c:v>6.004882813</c:v>
                </c:pt>
                <c:pt idx="12">
                  <c:v>6.55078125</c:v>
                </c:pt>
                <c:pt idx="13">
                  <c:v>7.096679688</c:v>
                </c:pt>
                <c:pt idx="14">
                  <c:v>7.642578125</c:v>
                </c:pt>
                <c:pt idx="15">
                  <c:v>8.188476563</c:v>
                </c:pt>
                <c:pt idx="16">
                  <c:v>8.734375</c:v>
                </c:pt>
                <c:pt idx="17">
                  <c:v>9.280273438</c:v>
                </c:pt>
                <c:pt idx="18">
                  <c:v>9.826171875</c:v>
                </c:pt>
                <c:pt idx="19">
                  <c:v>10.37207031</c:v>
                </c:pt>
                <c:pt idx="20">
                  <c:v>10.91796875</c:v>
                </c:pt>
                <c:pt idx="21">
                  <c:v>11.46386719</c:v>
                </c:pt>
                <c:pt idx="22">
                  <c:v>12.00976563</c:v>
                </c:pt>
                <c:pt idx="23">
                  <c:v>12.55566406</c:v>
                </c:pt>
                <c:pt idx="24">
                  <c:v>13.1015625</c:v>
                </c:pt>
                <c:pt idx="25">
                  <c:v>13.64746094</c:v>
                </c:pt>
                <c:pt idx="26">
                  <c:v>14.19335938</c:v>
                </c:pt>
                <c:pt idx="27">
                  <c:v>14.73925781</c:v>
                </c:pt>
                <c:pt idx="28">
                  <c:v>15.28515625</c:v>
                </c:pt>
                <c:pt idx="29">
                  <c:v>15.83105469</c:v>
                </c:pt>
                <c:pt idx="30">
                  <c:v>16.37695313</c:v>
                </c:pt>
                <c:pt idx="31">
                  <c:v>16.92285156</c:v>
                </c:pt>
                <c:pt idx="32">
                  <c:v>17.46875</c:v>
                </c:pt>
                <c:pt idx="33">
                  <c:v>18.01464844</c:v>
                </c:pt>
                <c:pt idx="34">
                  <c:v>18.56054688</c:v>
                </c:pt>
                <c:pt idx="35">
                  <c:v>19.10644531</c:v>
                </c:pt>
                <c:pt idx="36">
                  <c:v>19.65234375</c:v>
                </c:pt>
                <c:pt idx="37">
                  <c:v>20.19824219</c:v>
                </c:pt>
                <c:pt idx="38">
                  <c:v>20.74414063</c:v>
                </c:pt>
                <c:pt idx="39">
                  <c:v>21.29003906</c:v>
                </c:pt>
                <c:pt idx="40">
                  <c:v>21.8359375</c:v>
                </c:pt>
                <c:pt idx="41">
                  <c:v>22.38183594</c:v>
                </c:pt>
                <c:pt idx="42">
                  <c:v>22.92773438</c:v>
                </c:pt>
                <c:pt idx="43">
                  <c:v>23.47363281</c:v>
                </c:pt>
                <c:pt idx="44">
                  <c:v>24.01953125</c:v>
                </c:pt>
                <c:pt idx="45">
                  <c:v>24.56542969</c:v>
                </c:pt>
                <c:pt idx="46">
                  <c:v>25.11132813</c:v>
                </c:pt>
                <c:pt idx="47">
                  <c:v>25.65722656</c:v>
                </c:pt>
                <c:pt idx="48">
                  <c:v>26.203125</c:v>
                </c:pt>
                <c:pt idx="49">
                  <c:v>26.74902344</c:v>
                </c:pt>
                <c:pt idx="50">
                  <c:v>27.29492188</c:v>
                </c:pt>
                <c:pt idx="51">
                  <c:v>27.84082031</c:v>
                </c:pt>
                <c:pt idx="52">
                  <c:v>28.38671875</c:v>
                </c:pt>
                <c:pt idx="53">
                  <c:v>28.93261719</c:v>
                </c:pt>
                <c:pt idx="54">
                  <c:v>29.47851563</c:v>
                </c:pt>
                <c:pt idx="55">
                  <c:v>30.02441406</c:v>
                </c:pt>
                <c:pt idx="56">
                  <c:v>30.5703125</c:v>
                </c:pt>
                <c:pt idx="57">
                  <c:v>31.11621094</c:v>
                </c:pt>
                <c:pt idx="58">
                  <c:v>31.66210938</c:v>
                </c:pt>
                <c:pt idx="59">
                  <c:v>32.20800781</c:v>
                </c:pt>
                <c:pt idx="60">
                  <c:v>32.75390625</c:v>
                </c:pt>
                <c:pt idx="61">
                  <c:v>33.29980469</c:v>
                </c:pt>
                <c:pt idx="62">
                  <c:v>33.84570313</c:v>
                </c:pt>
                <c:pt idx="63">
                  <c:v>34.39160156</c:v>
                </c:pt>
                <c:pt idx="64">
                  <c:v>34.9375</c:v>
                </c:pt>
                <c:pt idx="65">
                  <c:v>35.48339844</c:v>
                </c:pt>
                <c:pt idx="66">
                  <c:v>36.02929688</c:v>
                </c:pt>
                <c:pt idx="67">
                  <c:v>36.57519531</c:v>
                </c:pt>
                <c:pt idx="68">
                  <c:v>37.12109375</c:v>
                </c:pt>
                <c:pt idx="69">
                  <c:v>37.66699219</c:v>
                </c:pt>
                <c:pt idx="70">
                  <c:v>38.21289063</c:v>
                </c:pt>
                <c:pt idx="71">
                  <c:v>38.75878906</c:v>
                </c:pt>
                <c:pt idx="72">
                  <c:v>39.3046875</c:v>
                </c:pt>
                <c:pt idx="73">
                  <c:v>39.85058594</c:v>
                </c:pt>
                <c:pt idx="74">
                  <c:v>40.39648438</c:v>
                </c:pt>
                <c:pt idx="75">
                  <c:v>40.94238281</c:v>
                </c:pt>
                <c:pt idx="76">
                  <c:v>41.48828125</c:v>
                </c:pt>
                <c:pt idx="77">
                  <c:v>42.03417969</c:v>
                </c:pt>
                <c:pt idx="78">
                  <c:v>42.58007813</c:v>
                </c:pt>
                <c:pt idx="79">
                  <c:v>43.12597656</c:v>
                </c:pt>
                <c:pt idx="80">
                  <c:v>43.671875</c:v>
                </c:pt>
                <c:pt idx="81">
                  <c:v>44.21777344</c:v>
                </c:pt>
                <c:pt idx="82">
                  <c:v>44.76367188</c:v>
                </c:pt>
                <c:pt idx="83">
                  <c:v>45.30957031</c:v>
                </c:pt>
                <c:pt idx="84">
                  <c:v>45.85546875</c:v>
                </c:pt>
                <c:pt idx="85">
                  <c:v>46.40136719</c:v>
                </c:pt>
                <c:pt idx="86">
                  <c:v>46.94726563</c:v>
                </c:pt>
                <c:pt idx="87">
                  <c:v>47.49316406</c:v>
                </c:pt>
                <c:pt idx="88">
                  <c:v>48.0390625</c:v>
                </c:pt>
                <c:pt idx="89">
                  <c:v>48.58496094</c:v>
                </c:pt>
                <c:pt idx="90">
                  <c:v>49.13085938</c:v>
                </c:pt>
                <c:pt idx="91">
                  <c:v>49.67675781</c:v>
                </c:pt>
                <c:pt idx="92">
                  <c:v>50.22265625</c:v>
                </c:pt>
                <c:pt idx="93">
                  <c:v>50.76855469</c:v>
                </c:pt>
                <c:pt idx="94">
                  <c:v>51.31445313</c:v>
                </c:pt>
                <c:pt idx="95">
                  <c:v>51.86035156</c:v>
                </c:pt>
                <c:pt idx="96">
                  <c:v>52.40625</c:v>
                </c:pt>
                <c:pt idx="97">
                  <c:v>52.95214844</c:v>
                </c:pt>
                <c:pt idx="98">
                  <c:v>53.49804688</c:v>
                </c:pt>
                <c:pt idx="99">
                  <c:v>54.04394531</c:v>
                </c:pt>
                <c:pt idx="100">
                  <c:v>54.58984375</c:v>
                </c:pt>
                <c:pt idx="101">
                  <c:v>55.13574219</c:v>
                </c:pt>
                <c:pt idx="102">
                  <c:v>55.68164063</c:v>
                </c:pt>
                <c:pt idx="103">
                  <c:v>56.22753906</c:v>
                </c:pt>
                <c:pt idx="104">
                  <c:v>56.7734375</c:v>
                </c:pt>
                <c:pt idx="105">
                  <c:v>57.31933594</c:v>
                </c:pt>
                <c:pt idx="106">
                  <c:v>57.86523438</c:v>
                </c:pt>
                <c:pt idx="107">
                  <c:v>58.41113281</c:v>
                </c:pt>
                <c:pt idx="108">
                  <c:v>58.95703125</c:v>
                </c:pt>
                <c:pt idx="109">
                  <c:v>59.50292969</c:v>
                </c:pt>
                <c:pt idx="110">
                  <c:v>60.04882813</c:v>
                </c:pt>
                <c:pt idx="111">
                  <c:v>60.59472656</c:v>
                </c:pt>
                <c:pt idx="112">
                  <c:v>61.140625</c:v>
                </c:pt>
                <c:pt idx="113">
                  <c:v>61.68652344</c:v>
                </c:pt>
                <c:pt idx="114">
                  <c:v>62.23242188</c:v>
                </c:pt>
                <c:pt idx="115">
                  <c:v>62.77832031</c:v>
                </c:pt>
                <c:pt idx="116">
                  <c:v>63.32421875</c:v>
                </c:pt>
                <c:pt idx="117">
                  <c:v>63.87011719</c:v>
                </c:pt>
                <c:pt idx="118">
                  <c:v>64.41601563</c:v>
                </c:pt>
                <c:pt idx="119">
                  <c:v>64.96191406</c:v>
                </c:pt>
                <c:pt idx="120">
                  <c:v>65.5078125</c:v>
                </c:pt>
                <c:pt idx="121">
                  <c:v>66.05371094</c:v>
                </c:pt>
                <c:pt idx="122">
                  <c:v>66.59960938</c:v>
                </c:pt>
                <c:pt idx="123">
                  <c:v>67.14550781</c:v>
                </c:pt>
                <c:pt idx="124">
                  <c:v>67.69140625</c:v>
                </c:pt>
                <c:pt idx="125">
                  <c:v>68.23730469</c:v>
                </c:pt>
                <c:pt idx="126">
                  <c:v>68.78320313</c:v>
                </c:pt>
                <c:pt idx="127">
                  <c:v>69.32910156</c:v>
                </c:pt>
                <c:pt idx="128">
                  <c:v>69.875</c:v>
                </c:pt>
                <c:pt idx="129">
                  <c:v>70.42089844</c:v>
                </c:pt>
                <c:pt idx="130">
                  <c:v>70.96679688</c:v>
                </c:pt>
                <c:pt idx="131">
                  <c:v>71.51269531</c:v>
                </c:pt>
                <c:pt idx="132">
                  <c:v>72.05859375</c:v>
                </c:pt>
                <c:pt idx="133">
                  <c:v>72.60449219</c:v>
                </c:pt>
                <c:pt idx="134">
                  <c:v>73.15039063</c:v>
                </c:pt>
                <c:pt idx="135">
                  <c:v>73.69628906</c:v>
                </c:pt>
                <c:pt idx="136">
                  <c:v>74.2421875</c:v>
                </c:pt>
                <c:pt idx="137">
                  <c:v>74.78808594</c:v>
                </c:pt>
                <c:pt idx="138">
                  <c:v>75.33398438</c:v>
                </c:pt>
                <c:pt idx="139">
                  <c:v>75.87988281</c:v>
                </c:pt>
                <c:pt idx="140">
                  <c:v>76.42578125</c:v>
                </c:pt>
                <c:pt idx="141">
                  <c:v>76.97167969</c:v>
                </c:pt>
                <c:pt idx="142">
                  <c:v>77.51757813</c:v>
                </c:pt>
                <c:pt idx="143">
                  <c:v>78.06347656</c:v>
                </c:pt>
                <c:pt idx="144">
                  <c:v>78.609375</c:v>
                </c:pt>
                <c:pt idx="145">
                  <c:v>79.15527344</c:v>
                </c:pt>
                <c:pt idx="146">
                  <c:v>79.70117188</c:v>
                </c:pt>
                <c:pt idx="147">
                  <c:v>80.24707031</c:v>
                </c:pt>
                <c:pt idx="148">
                  <c:v>80.79296875</c:v>
                </c:pt>
                <c:pt idx="149">
                  <c:v>81.33886719</c:v>
                </c:pt>
                <c:pt idx="150">
                  <c:v>81.88476563</c:v>
                </c:pt>
                <c:pt idx="151">
                  <c:v>82.43066406</c:v>
                </c:pt>
                <c:pt idx="152">
                  <c:v>82.9765625</c:v>
                </c:pt>
                <c:pt idx="153">
                  <c:v>83.52246094</c:v>
                </c:pt>
                <c:pt idx="154">
                  <c:v>84.06835938</c:v>
                </c:pt>
                <c:pt idx="155">
                  <c:v>84.61425781</c:v>
                </c:pt>
                <c:pt idx="156">
                  <c:v>85.16015625</c:v>
                </c:pt>
                <c:pt idx="157">
                  <c:v>85.70605469</c:v>
                </c:pt>
                <c:pt idx="158">
                  <c:v>86.25195313</c:v>
                </c:pt>
                <c:pt idx="159">
                  <c:v>86.79785156</c:v>
                </c:pt>
                <c:pt idx="160">
                  <c:v>87.34375</c:v>
                </c:pt>
                <c:pt idx="161">
                  <c:v>87.88964844</c:v>
                </c:pt>
                <c:pt idx="162">
                  <c:v>88.43554688</c:v>
                </c:pt>
                <c:pt idx="163">
                  <c:v>88.98144531</c:v>
                </c:pt>
                <c:pt idx="164">
                  <c:v>89.52734375</c:v>
                </c:pt>
                <c:pt idx="165">
                  <c:v>90.07324219</c:v>
                </c:pt>
                <c:pt idx="166">
                  <c:v>90.61914063</c:v>
                </c:pt>
                <c:pt idx="167">
                  <c:v>91.16503906</c:v>
                </c:pt>
                <c:pt idx="168">
                  <c:v>91.7109375</c:v>
                </c:pt>
                <c:pt idx="169">
                  <c:v>92.25683594</c:v>
                </c:pt>
                <c:pt idx="170">
                  <c:v>92.80273438</c:v>
                </c:pt>
                <c:pt idx="171">
                  <c:v>93.34863281</c:v>
                </c:pt>
                <c:pt idx="172">
                  <c:v>93.89453125</c:v>
                </c:pt>
                <c:pt idx="173">
                  <c:v>94.44042969</c:v>
                </c:pt>
                <c:pt idx="174">
                  <c:v>94.98632813</c:v>
                </c:pt>
                <c:pt idx="175">
                  <c:v>95.53222656</c:v>
                </c:pt>
                <c:pt idx="176">
                  <c:v>96.078125</c:v>
                </c:pt>
                <c:pt idx="177">
                  <c:v>96.62402344</c:v>
                </c:pt>
                <c:pt idx="178">
                  <c:v>97.16992188</c:v>
                </c:pt>
                <c:pt idx="179">
                  <c:v>97.71582031</c:v>
                </c:pt>
                <c:pt idx="180">
                  <c:v>98.26171875</c:v>
                </c:pt>
                <c:pt idx="181">
                  <c:v>98.80761719</c:v>
                </c:pt>
                <c:pt idx="182">
                  <c:v>99.35351563</c:v>
                </c:pt>
                <c:pt idx="183">
                  <c:v>99.89941406</c:v>
                </c:pt>
                <c:pt idx="184">
                  <c:v>100.4453125</c:v>
                </c:pt>
                <c:pt idx="185">
                  <c:v>100.9912109</c:v>
                </c:pt>
                <c:pt idx="186">
                  <c:v>101.5371094</c:v>
                </c:pt>
                <c:pt idx="187">
                  <c:v>102.0830078</c:v>
                </c:pt>
                <c:pt idx="188">
                  <c:v>102.6289063</c:v>
                </c:pt>
                <c:pt idx="189">
                  <c:v>103.1748047</c:v>
                </c:pt>
                <c:pt idx="190">
                  <c:v>103.7207031</c:v>
                </c:pt>
                <c:pt idx="191">
                  <c:v>104.2666016</c:v>
                </c:pt>
                <c:pt idx="192">
                  <c:v>104.8125</c:v>
                </c:pt>
                <c:pt idx="193">
                  <c:v>105.3583984</c:v>
                </c:pt>
                <c:pt idx="194">
                  <c:v>105.9042969</c:v>
                </c:pt>
                <c:pt idx="195">
                  <c:v>106.4501953</c:v>
                </c:pt>
                <c:pt idx="196">
                  <c:v>106.9960938</c:v>
                </c:pt>
                <c:pt idx="197">
                  <c:v>107.5419922</c:v>
                </c:pt>
                <c:pt idx="198">
                  <c:v>108.0878906</c:v>
                </c:pt>
                <c:pt idx="199">
                  <c:v>108.6337891</c:v>
                </c:pt>
                <c:pt idx="200">
                  <c:v>109.1796875</c:v>
                </c:pt>
                <c:pt idx="201">
                  <c:v>109.7255859</c:v>
                </c:pt>
                <c:pt idx="202">
                  <c:v>110.2714844</c:v>
                </c:pt>
                <c:pt idx="203">
                  <c:v>110.8173828</c:v>
                </c:pt>
                <c:pt idx="204">
                  <c:v>111.3632813</c:v>
                </c:pt>
                <c:pt idx="205">
                  <c:v>111.9091797</c:v>
                </c:pt>
                <c:pt idx="206">
                  <c:v>112.4550781</c:v>
                </c:pt>
                <c:pt idx="207">
                  <c:v>113.0009766</c:v>
                </c:pt>
                <c:pt idx="208">
                  <c:v>113.546875</c:v>
                </c:pt>
                <c:pt idx="209">
                  <c:v>114.0927734</c:v>
                </c:pt>
                <c:pt idx="210">
                  <c:v>114.6386719</c:v>
                </c:pt>
                <c:pt idx="211">
                  <c:v>115.1845703</c:v>
                </c:pt>
                <c:pt idx="212">
                  <c:v>115.7304688</c:v>
                </c:pt>
                <c:pt idx="213">
                  <c:v>116.2763672</c:v>
                </c:pt>
                <c:pt idx="214">
                  <c:v>116.8222656</c:v>
                </c:pt>
                <c:pt idx="215">
                  <c:v>117.3681641</c:v>
                </c:pt>
                <c:pt idx="216">
                  <c:v>117.9140625</c:v>
                </c:pt>
                <c:pt idx="217">
                  <c:v>118.4599609</c:v>
                </c:pt>
                <c:pt idx="218">
                  <c:v>119.0058594</c:v>
                </c:pt>
                <c:pt idx="219">
                  <c:v>119.5517578</c:v>
                </c:pt>
                <c:pt idx="220">
                  <c:v>120.0976563</c:v>
                </c:pt>
                <c:pt idx="221">
                  <c:v>120.6435547</c:v>
                </c:pt>
                <c:pt idx="222">
                  <c:v>121.1894531</c:v>
                </c:pt>
                <c:pt idx="223">
                  <c:v>121.7353516</c:v>
                </c:pt>
                <c:pt idx="224">
                  <c:v>122.28125</c:v>
                </c:pt>
                <c:pt idx="225">
                  <c:v>122.8271484</c:v>
                </c:pt>
                <c:pt idx="226">
                  <c:v>123.3730469</c:v>
                </c:pt>
                <c:pt idx="227">
                  <c:v>123.9189453</c:v>
                </c:pt>
                <c:pt idx="228">
                  <c:v>124.4648438</c:v>
                </c:pt>
                <c:pt idx="229">
                  <c:v>125.0107422</c:v>
                </c:pt>
                <c:pt idx="230">
                  <c:v>125.5566406</c:v>
                </c:pt>
                <c:pt idx="231">
                  <c:v>126.1025391</c:v>
                </c:pt>
                <c:pt idx="232">
                  <c:v>126.6484375</c:v>
                </c:pt>
                <c:pt idx="233">
                  <c:v>127.1943359</c:v>
                </c:pt>
                <c:pt idx="234">
                  <c:v>127.7402344</c:v>
                </c:pt>
                <c:pt idx="235">
                  <c:v>128.2861328</c:v>
                </c:pt>
                <c:pt idx="236">
                  <c:v>128.8320313</c:v>
                </c:pt>
                <c:pt idx="237">
                  <c:v>129.3779297</c:v>
                </c:pt>
                <c:pt idx="238">
                  <c:v>129.9238281</c:v>
                </c:pt>
                <c:pt idx="239">
                  <c:v>130.4697266</c:v>
                </c:pt>
                <c:pt idx="240">
                  <c:v>131.015625</c:v>
                </c:pt>
                <c:pt idx="241">
                  <c:v>131.5615234</c:v>
                </c:pt>
                <c:pt idx="242">
                  <c:v>132.1074219</c:v>
                </c:pt>
                <c:pt idx="243">
                  <c:v>132.6533203</c:v>
                </c:pt>
                <c:pt idx="244">
                  <c:v>133.1992188</c:v>
                </c:pt>
                <c:pt idx="245">
                  <c:v>133.7451172</c:v>
                </c:pt>
                <c:pt idx="246">
                  <c:v>134.2910156</c:v>
                </c:pt>
                <c:pt idx="247">
                  <c:v>134.8369141</c:v>
                </c:pt>
                <c:pt idx="248">
                  <c:v>135.3828125</c:v>
                </c:pt>
                <c:pt idx="249">
                  <c:v>135.9287109</c:v>
                </c:pt>
                <c:pt idx="250">
                  <c:v>136.4746094</c:v>
                </c:pt>
                <c:pt idx="251">
                  <c:v>137.0205078</c:v>
                </c:pt>
                <c:pt idx="252">
                  <c:v>137.5664063</c:v>
                </c:pt>
                <c:pt idx="253">
                  <c:v>138.1123047</c:v>
                </c:pt>
                <c:pt idx="254">
                  <c:v>138.6582031</c:v>
                </c:pt>
                <c:pt idx="255">
                  <c:v>139.2041016</c:v>
                </c:pt>
                <c:pt idx="256">
                  <c:v>139.75</c:v>
                </c:pt>
                <c:pt idx="257">
                  <c:v>140.2958984</c:v>
                </c:pt>
                <c:pt idx="258">
                  <c:v>140.8417969</c:v>
                </c:pt>
                <c:pt idx="259">
                  <c:v>141.3876953</c:v>
                </c:pt>
                <c:pt idx="260">
                  <c:v>141.9335938</c:v>
                </c:pt>
                <c:pt idx="261">
                  <c:v>142.4794922</c:v>
                </c:pt>
                <c:pt idx="262">
                  <c:v>143.0253906</c:v>
                </c:pt>
                <c:pt idx="263">
                  <c:v>143.5712891</c:v>
                </c:pt>
                <c:pt idx="264">
                  <c:v>144.1171875</c:v>
                </c:pt>
                <c:pt idx="265">
                  <c:v>144.6630859</c:v>
                </c:pt>
                <c:pt idx="266">
                  <c:v>145.2089844</c:v>
                </c:pt>
                <c:pt idx="267">
                  <c:v>145.7548828</c:v>
                </c:pt>
                <c:pt idx="268">
                  <c:v>146.3007813</c:v>
                </c:pt>
                <c:pt idx="269">
                  <c:v>146.8466797</c:v>
                </c:pt>
                <c:pt idx="270">
                  <c:v>147.3925781</c:v>
                </c:pt>
                <c:pt idx="271">
                  <c:v>147.9384766</c:v>
                </c:pt>
                <c:pt idx="272">
                  <c:v>148.484375</c:v>
                </c:pt>
                <c:pt idx="273">
                  <c:v>149.0302734</c:v>
                </c:pt>
                <c:pt idx="274">
                  <c:v>149.5761719</c:v>
                </c:pt>
                <c:pt idx="275">
                  <c:v>150.1220703</c:v>
                </c:pt>
                <c:pt idx="276">
                  <c:v>150.6679688</c:v>
                </c:pt>
                <c:pt idx="277">
                  <c:v>151.2138672</c:v>
                </c:pt>
                <c:pt idx="278">
                  <c:v>151.7597656</c:v>
                </c:pt>
                <c:pt idx="279">
                  <c:v>152.3056641</c:v>
                </c:pt>
                <c:pt idx="280">
                  <c:v>152.8515625</c:v>
                </c:pt>
                <c:pt idx="281">
                  <c:v>153.3974609</c:v>
                </c:pt>
                <c:pt idx="282">
                  <c:v>153.9433594</c:v>
                </c:pt>
                <c:pt idx="283">
                  <c:v>154.4892578</c:v>
                </c:pt>
                <c:pt idx="284">
                  <c:v>155.0351563</c:v>
                </c:pt>
                <c:pt idx="285">
                  <c:v>155.5810547</c:v>
                </c:pt>
                <c:pt idx="286">
                  <c:v>156.1269531</c:v>
                </c:pt>
                <c:pt idx="287">
                  <c:v>156.6728516</c:v>
                </c:pt>
                <c:pt idx="288">
                  <c:v>157.21875</c:v>
                </c:pt>
                <c:pt idx="289">
                  <c:v>157.7646484</c:v>
                </c:pt>
                <c:pt idx="290">
                  <c:v>158.3105469</c:v>
                </c:pt>
                <c:pt idx="291">
                  <c:v>158.8564453</c:v>
                </c:pt>
                <c:pt idx="292">
                  <c:v>159.4023438</c:v>
                </c:pt>
                <c:pt idx="293">
                  <c:v>159.9482422</c:v>
                </c:pt>
                <c:pt idx="294">
                  <c:v>160.4941406</c:v>
                </c:pt>
                <c:pt idx="295">
                  <c:v>161.0400391</c:v>
                </c:pt>
                <c:pt idx="296">
                  <c:v>161.5859375</c:v>
                </c:pt>
                <c:pt idx="297">
                  <c:v>162.1318359</c:v>
                </c:pt>
                <c:pt idx="298">
                  <c:v>162.6777344</c:v>
                </c:pt>
                <c:pt idx="299">
                  <c:v>163.2236328</c:v>
                </c:pt>
                <c:pt idx="300">
                  <c:v>163.7695313</c:v>
                </c:pt>
                <c:pt idx="301">
                  <c:v>164.3154297</c:v>
                </c:pt>
                <c:pt idx="302">
                  <c:v>164.8613281</c:v>
                </c:pt>
                <c:pt idx="303">
                  <c:v>165.4072266</c:v>
                </c:pt>
                <c:pt idx="304">
                  <c:v>165.953125</c:v>
                </c:pt>
                <c:pt idx="305">
                  <c:v>166.4990234</c:v>
                </c:pt>
                <c:pt idx="306">
                  <c:v>167.0449219</c:v>
                </c:pt>
                <c:pt idx="307">
                  <c:v>167.5908203</c:v>
                </c:pt>
                <c:pt idx="308">
                  <c:v>168.1367188</c:v>
                </c:pt>
                <c:pt idx="309">
                  <c:v>168.6826172</c:v>
                </c:pt>
                <c:pt idx="310">
                  <c:v>169.2285156</c:v>
                </c:pt>
                <c:pt idx="311">
                  <c:v>169.7744141</c:v>
                </c:pt>
                <c:pt idx="312">
                  <c:v>170.3203125</c:v>
                </c:pt>
                <c:pt idx="313">
                  <c:v>170.8662109</c:v>
                </c:pt>
                <c:pt idx="314">
                  <c:v>171.4121094</c:v>
                </c:pt>
                <c:pt idx="315">
                  <c:v>171.9580078</c:v>
                </c:pt>
                <c:pt idx="316">
                  <c:v>172.5039063</c:v>
                </c:pt>
                <c:pt idx="317">
                  <c:v>173.0498047</c:v>
                </c:pt>
                <c:pt idx="318">
                  <c:v>173.5957031</c:v>
                </c:pt>
                <c:pt idx="319">
                  <c:v>174.1416016</c:v>
                </c:pt>
                <c:pt idx="320">
                  <c:v>174.6875</c:v>
                </c:pt>
                <c:pt idx="321">
                  <c:v>175.2333984</c:v>
                </c:pt>
                <c:pt idx="322">
                  <c:v>175.7792969</c:v>
                </c:pt>
                <c:pt idx="323">
                  <c:v>176.3251953</c:v>
                </c:pt>
                <c:pt idx="324">
                  <c:v>176.8710938</c:v>
                </c:pt>
                <c:pt idx="325">
                  <c:v>177.4169922</c:v>
                </c:pt>
                <c:pt idx="326">
                  <c:v>177.9628906</c:v>
                </c:pt>
                <c:pt idx="327">
                  <c:v>178.5087891</c:v>
                </c:pt>
                <c:pt idx="328">
                  <c:v>179.0546875</c:v>
                </c:pt>
                <c:pt idx="329">
                  <c:v>179.6005859</c:v>
                </c:pt>
                <c:pt idx="330">
                  <c:v>180.1464844</c:v>
                </c:pt>
                <c:pt idx="331">
                  <c:v>180.6923828</c:v>
                </c:pt>
                <c:pt idx="332">
                  <c:v>181.2382813</c:v>
                </c:pt>
                <c:pt idx="333">
                  <c:v>181.7841797</c:v>
                </c:pt>
                <c:pt idx="334">
                  <c:v>182.3300781</c:v>
                </c:pt>
                <c:pt idx="335">
                  <c:v>182.8759766</c:v>
                </c:pt>
                <c:pt idx="336">
                  <c:v>183.421875</c:v>
                </c:pt>
                <c:pt idx="337">
                  <c:v>183.9677734</c:v>
                </c:pt>
                <c:pt idx="338">
                  <c:v>184.5136719</c:v>
                </c:pt>
                <c:pt idx="339">
                  <c:v>185.0595703</c:v>
                </c:pt>
                <c:pt idx="340">
                  <c:v>185.6054688</c:v>
                </c:pt>
                <c:pt idx="341">
                  <c:v>186.1513672</c:v>
                </c:pt>
                <c:pt idx="342">
                  <c:v>186.6972656</c:v>
                </c:pt>
                <c:pt idx="343">
                  <c:v>187.2431641</c:v>
                </c:pt>
                <c:pt idx="344">
                  <c:v>187.7890625</c:v>
                </c:pt>
                <c:pt idx="345">
                  <c:v>188.3349609</c:v>
                </c:pt>
                <c:pt idx="346">
                  <c:v>188.8808594</c:v>
                </c:pt>
                <c:pt idx="347">
                  <c:v>189.4267578</c:v>
                </c:pt>
                <c:pt idx="348">
                  <c:v>189.9726563</c:v>
                </c:pt>
                <c:pt idx="349">
                  <c:v>190.5185547</c:v>
                </c:pt>
                <c:pt idx="350">
                  <c:v>191.0644531</c:v>
                </c:pt>
                <c:pt idx="351">
                  <c:v>191.6103516</c:v>
                </c:pt>
                <c:pt idx="352">
                  <c:v>192.15625</c:v>
                </c:pt>
                <c:pt idx="353">
                  <c:v>192.7021484</c:v>
                </c:pt>
                <c:pt idx="354">
                  <c:v>193.2480469</c:v>
                </c:pt>
                <c:pt idx="355">
                  <c:v>193.7939453</c:v>
                </c:pt>
                <c:pt idx="356">
                  <c:v>194.3398438</c:v>
                </c:pt>
                <c:pt idx="357">
                  <c:v>194.8857422</c:v>
                </c:pt>
                <c:pt idx="358">
                  <c:v>195.4316406</c:v>
                </c:pt>
                <c:pt idx="359">
                  <c:v>195.9775391</c:v>
                </c:pt>
                <c:pt idx="360">
                  <c:v>196.5234375</c:v>
                </c:pt>
                <c:pt idx="361">
                  <c:v>197.0693359</c:v>
                </c:pt>
                <c:pt idx="362">
                  <c:v>197.6152344</c:v>
                </c:pt>
                <c:pt idx="363">
                  <c:v>198.1611328</c:v>
                </c:pt>
                <c:pt idx="364">
                  <c:v>198.7070313</c:v>
                </c:pt>
                <c:pt idx="365">
                  <c:v>199.2529297</c:v>
                </c:pt>
                <c:pt idx="366">
                  <c:v>199.7988281</c:v>
                </c:pt>
                <c:pt idx="367">
                  <c:v>200.3447266</c:v>
                </c:pt>
                <c:pt idx="368">
                  <c:v>200.890625</c:v>
                </c:pt>
                <c:pt idx="369">
                  <c:v>201.4365234</c:v>
                </c:pt>
                <c:pt idx="370">
                  <c:v>201.9824219</c:v>
                </c:pt>
                <c:pt idx="371">
                  <c:v>202.5283203</c:v>
                </c:pt>
                <c:pt idx="372">
                  <c:v>203.0742188</c:v>
                </c:pt>
                <c:pt idx="373">
                  <c:v>203.6201172</c:v>
                </c:pt>
                <c:pt idx="374">
                  <c:v>204.1660156</c:v>
                </c:pt>
                <c:pt idx="375">
                  <c:v>204.7119141</c:v>
                </c:pt>
                <c:pt idx="376">
                  <c:v>205.2578125</c:v>
                </c:pt>
                <c:pt idx="377">
                  <c:v>205.8037109</c:v>
                </c:pt>
                <c:pt idx="378">
                  <c:v>206.3496094</c:v>
                </c:pt>
                <c:pt idx="379">
                  <c:v>206.8955078</c:v>
                </c:pt>
                <c:pt idx="380">
                  <c:v>207.4414063</c:v>
                </c:pt>
                <c:pt idx="381">
                  <c:v>207.9873047</c:v>
                </c:pt>
                <c:pt idx="382">
                  <c:v>208.5332031</c:v>
                </c:pt>
                <c:pt idx="383">
                  <c:v>209.0791016</c:v>
                </c:pt>
                <c:pt idx="384">
                  <c:v>209.625</c:v>
                </c:pt>
                <c:pt idx="385">
                  <c:v>210.1708984</c:v>
                </c:pt>
                <c:pt idx="386">
                  <c:v>210.7167969</c:v>
                </c:pt>
                <c:pt idx="387">
                  <c:v>211.2626953</c:v>
                </c:pt>
                <c:pt idx="388">
                  <c:v>211.8085938</c:v>
                </c:pt>
                <c:pt idx="389">
                  <c:v>212.3544922</c:v>
                </c:pt>
                <c:pt idx="390">
                  <c:v>212.9003906</c:v>
                </c:pt>
                <c:pt idx="391">
                  <c:v>213.4462891</c:v>
                </c:pt>
                <c:pt idx="392">
                  <c:v>213.9921875</c:v>
                </c:pt>
                <c:pt idx="393">
                  <c:v>214.5380859</c:v>
                </c:pt>
                <c:pt idx="394">
                  <c:v>215.0839844</c:v>
                </c:pt>
                <c:pt idx="395">
                  <c:v>215.6298828</c:v>
                </c:pt>
                <c:pt idx="396">
                  <c:v>216.1757813</c:v>
                </c:pt>
                <c:pt idx="397">
                  <c:v>216.7216797</c:v>
                </c:pt>
                <c:pt idx="398">
                  <c:v>217.2675781</c:v>
                </c:pt>
                <c:pt idx="399">
                  <c:v>217.8134766</c:v>
                </c:pt>
                <c:pt idx="400">
                  <c:v>218.359375</c:v>
                </c:pt>
                <c:pt idx="401">
                  <c:v>218.9052734</c:v>
                </c:pt>
                <c:pt idx="402">
                  <c:v>219.4511719</c:v>
                </c:pt>
                <c:pt idx="403">
                  <c:v>219.9970703</c:v>
                </c:pt>
                <c:pt idx="404">
                  <c:v>220.5429688</c:v>
                </c:pt>
                <c:pt idx="405">
                  <c:v>221.0888672</c:v>
                </c:pt>
                <c:pt idx="406">
                  <c:v>221.6347656</c:v>
                </c:pt>
                <c:pt idx="407">
                  <c:v>222.1806641</c:v>
                </c:pt>
                <c:pt idx="408">
                  <c:v>222.7265625</c:v>
                </c:pt>
                <c:pt idx="409">
                  <c:v>223.2724609</c:v>
                </c:pt>
                <c:pt idx="410">
                  <c:v>223.8183594</c:v>
                </c:pt>
                <c:pt idx="411">
                  <c:v>224.3642578</c:v>
                </c:pt>
                <c:pt idx="412">
                  <c:v>224.9101563</c:v>
                </c:pt>
                <c:pt idx="413">
                  <c:v>225.4560547</c:v>
                </c:pt>
                <c:pt idx="414">
                  <c:v>226.0019531</c:v>
                </c:pt>
                <c:pt idx="415">
                  <c:v>226.5478516</c:v>
                </c:pt>
                <c:pt idx="416">
                  <c:v>227.09375</c:v>
                </c:pt>
                <c:pt idx="417">
                  <c:v>227.6396484</c:v>
                </c:pt>
                <c:pt idx="418">
                  <c:v>228.1855469</c:v>
                </c:pt>
                <c:pt idx="419">
                  <c:v>228.7314453</c:v>
                </c:pt>
                <c:pt idx="420">
                  <c:v>229.2773438</c:v>
                </c:pt>
                <c:pt idx="421">
                  <c:v>229.8232422</c:v>
                </c:pt>
                <c:pt idx="422">
                  <c:v>230.3691406</c:v>
                </c:pt>
                <c:pt idx="423">
                  <c:v>230.9150391</c:v>
                </c:pt>
                <c:pt idx="424">
                  <c:v>231.4609375</c:v>
                </c:pt>
                <c:pt idx="425">
                  <c:v>232.0068359</c:v>
                </c:pt>
                <c:pt idx="426">
                  <c:v>232.5527344</c:v>
                </c:pt>
                <c:pt idx="427">
                  <c:v>233.0986328</c:v>
                </c:pt>
                <c:pt idx="428">
                  <c:v>233.6445313</c:v>
                </c:pt>
                <c:pt idx="429">
                  <c:v>234.1904297</c:v>
                </c:pt>
                <c:pt idx="430">
                  <c:v>234.7363281</c:v>
                </c:pt>
                <c:pt idx="431">
                  <c:v>235.2822266</c:v>
                </c:pt>
                <c:pt idx="432">
                  <c:v>235.828125</c:v>
                </c:pt>
                <c:pt idx="433">
                  <c:v>236.3740234</c:v>
                </c:pt>
                <c:pt idx="434">
                  <c:v>236.9199219</c:v>
                </c:pt>
                <c:pt idx="435">
                  <c:v>237.4658203</c:v>
                </c:pt>
                <c:pt idx="436">
                  <c:v>238.0117188</c:v>
                </c:pt>
                <c:pt idx="437">
                  <c:v>238.5576172</c:v>
                </c:pt>
                <c:pt idx="438">
                  <c:v>239.1035156</c:v>
                </c:pt>
                <c:pt idx="439">
                  <c:v>239.6494141</c:v>
                </c:pt>
                <c:pt idx="440">
                  <c:v>240.1953125</c:v>
                </c:pt>
                <c:pt idx="441">
                  <c:v>240.7412109</c:v>
                </c:pt>
                <c:pt idx="442">
                  <c:v>241.2871094</c:v>
                </c:pt>
                <c:pt idx="443">
                  <c:v>241.8330078</c:v>
                </c:pt>
                <c:pt idx="444">
                  <c:v>242.3789063</c:v>
                </c:pt>
                <c:pt idx="445">
                  <c:v>242.9248047</c:v>
                </c:pt>
                <c:pt idx="446">
                  <c:v>243.4707031</c:v>
                </c:pt>
                <c:pt idx="447">
                  <c:v>244.0166016</c:v>
                </c:pt>
                <c:pt idx="448">
                  <c:v>244.5625</c:v>
                </c:pt>
                <c:pt idx="449">
                  <c:v>245.1083984</c:v>
                </c:pt>
                <c:pt idx="450">
                  <c:v>245.6542969</c:v>
                </c:pt>
                <c:pt idx="451">
                  <c:v>246.2001953</c:v>
                </c:pt>
                <c:pt idx="452">
                  <c:v>246.7460938</c:v>
                </c:pt>
                <c:pt idx="453">
                  <c:v>247.2919922</c:v>
                </c:pt>
                <c:pt idx="454">
                  <c:v>247.8378906</c:v>
                </c:pt>
                <c:pt idx="455">
                  <c:v>248.3837891</c:v>
                </c:pt>
                <c:pt idx="456">
                  <c:v>248.9296875</c:v>
                </c:pt>
                <c:pt idx="457">
                  <c:v>249.4755859</c:v>
                </c:pt>
                <c:pt idx="458">
                  <c:v>250.0214844</c:v>
                </c:pt>
                <c:pt idx="459">
                  <c:v>250.5673828</c:v>
                </c:pt>
                <c:pt idx="460">
                  <c:v>251.1132813</c:v>
                </c:pt>
                <c:pt idx="461">
                  <c:v>251.6591797</c:v>
                </c:pt>
                <c:pt idx="462">
                  <c:v>252.2050781</c:v>
                </c:pt>
                <c:pt idx="463">
                  <c:v>252.7509766</c:v>
                </c:pt>
                <c:pt idx="464">
                  <c:v>253.296875</c:v>
                </c:pt>
                <c:pt idx="465">
                  <c:v>253.8427734</c:v>
                </c:pt>
                <c:pt idx="466">
                  <c:v>254.3886719</c:v>
                </c:pt>
                <c:pt idx="467">
                  <c:v>254.9345703</c:v>
                </c:pt>
                <c:pt idx="468">
                  <c:v>255.4804688</c:v>
                </c:pt>
                <c:pt idx="469">
                  <c:v>256.0263672</c:v>
                </c:pt>
                <c:pt idx="470">
                  <c:v>256.5722656</c:v>
                </c:pt>
                <c:pt idx="471">
                  <c:v>257.1181641</c:v>
                </c:pt>
                <c:pt idx="472">
                  <c:v>257.6640625</c:v>
                </c:pt>
                <c:pt idx="473">
                  <c:v>258.2099609</c:v>
                </c:pt>
                <c:pt idx="474">
                  <c:v>258.7558594</c:v>
                </c:pt>
                <c:pt idx="475">
                  <c:v>259.3017578</c:v>
                </c:pt>
                <c:pt idx="476">
                  <c:v>259.8476563</c:v>
                </c:pt>
                <c:pt idx="477">
                  <c:v>260.3935547</c:v>
                </c:pt>
                <c:pt idx="478">
                  <c:v>260.9394531</c:v>
                </c:pt>
                <c:pt idx="479">
                  <c:v>261.4853516</c:v>
                </c:pt>
                <c:pt idx="480">
                  <c:v>262.03125</c:v>
                </c:pt>
                <c:pt idx="481">
                  <c:v>262.5771484</c:v>
                </c:pt>
                <c:pt idx="482">
                  <c:v>263.1230469</c:v>
                </c:pt>
                <c:pt idx="483">
                  <c:v>263.6689453</c:v>
                </c:pt>
                <c:pt idx="484">
                  <c:v>264.2148438</c:v>
                </c:pt>
                <c:pt idx="485">
                  <c:v>264.7607422</c:v>
                </c:pt>
                <c:pt idx="486">
                  <c:v>265.3066406</c:v>
                </c:pt>
                <c:pt idx="487">
                  <c:v>265.8525391</c:v>
                </c:pt>
                <c:pt idx="488">
                  <c:v>266.3984375</c:v>
                </c:pt>
                <c:pt idx="489">
                  <c:v>266.9443359</c:v>
                </c:pt>
                <c:pt idx="490">
                  <c:v>267.4902344</c:v>
                </c:pt>
                <c:pt idx="491">
                  <c:v>268.0361328</c:v>
                </c:pt>
                <c:pt idx="492">
                  <c:v>268.5820313</c:v>
                </c:pt>
                <c:pt idx="493">
                  <c:v>269.1279297</c:v>
                </c:pt>
                <c:pt idx="494">
                  <c:v>269.6738281</c:v>
                </c:pt>
                <c:pt idx="495">
                  <c:v>270.2197266</c:v>
                </c:pt>
                <c:pt idx="496">
                  <c:v>270.765625</c:v>
                </c:pt>
                <c:pt idx="497">
                  <c:v>271.3115234</c:v>
                </c:pt>
                <c:pt idx="498">
                  <c:v>271.8574219</c:v>
                </c:pt>
                <c:pt idx="499">
                  <c:v>272.4033203</c:v>
                </c:pt>
                <c:pt idx="500">
                  <c:v>272.9492188</c:v>
                </c:pt>
                <c:pt idx="501">
                  <c:v>273.4951172</c:v>
                </c:pt>
                <c:pt idx="502">
                  <c:v>274.0410156</c:v>
                </c:pt>
                <c:pt idx="503">
                  <c:v>274.5869141</c:v>
                </c:pt>
                <c:pt idx="504">
                  <c:v>275.1328125</c:v>
                </c:pt>
                <c:pt idx="505">
                  <c:v>275.6787109</c:v>
                </c:pt>
                <c:pt idx="506">
                  <c:v>276.2246094</c:v>
                </c:pt>
                <c:pt idx="507">
                  <c:v>276.7705078</c:v>
                </c:pt>
                <c:pt idx="508">
                  <c:v>277.3164063</c:v>
                </c:pt>
                <c:pt idx="509">
                  <c:v>277.8623047</c:v>
                </c:pt>
                <c:pt idx="510">
                  <c:v>278.4082031</c:v>
                </c:pt>
                <c:pt idx="511">
                  <c:v>278.9541016</c:v>
                </c:pt>
                <c:pt idx="512">
                  <c:v>279.5</c:v>
                </c:pt>
                <c:pt idx="513">
                  <c:v>280.0458984</c:v>
                </c:pt>
                <c:pt idx="514">
                  <c:v>280.5917969</c:v>
                </c:pt>
                <c:pt idx="515">
                  <c:v>281.1376953</c:v>
                </c:pt>
                <c:pt idx="516">
                  <c:v>281.6835938</c:v>
                </c:pt>
                <c:pt idx="517">
                  <c:v>282.2294922</c:v>
                </c:pt>
                <c:pt idx="518">
                  <c:v>282.7753906</c:v>
                </c:pt>
                <c:pt idx="519">
                  <c:v>283.3212891</c:v>
                </c:pt>
                <c:pt idx="520">
                  <c:v>283.8671875</c:v>
                </c:pt>
                <c:pt idx="521">
                  <c:v>284.4130859</c:v>
                </c:pt>
                <c:pt idx="522">
                  <c:v>284.9589844</c:v>
                </c:pt>
                <c:pt idx="523">
                  <c:v>285.5048828</c:v>
                </c:pt>
                <c:pt idx="524">
                  <c:v>286.0507813</c:v>
                </c:pt>
                <c:pt idx="525">
                  <c:v>286.5966797</c:v>
                </c:pt>
                <c:pt idx="526">
                  <c:v>287.1425781</c:v>
                </c:pt>
                <c:pt idx="527">
                  <c:v>287.6884766</c:v>
                </c:pt>
                <c:pt idx="528">
                  <c:v>288.234375</c:v>
                </c:pt>
                <c:pt idx="529">
                  <c:v>288.7802734</c:v>
                </c:pt>
                <c:pt idx="530">
                  <c:v>289.3261719</c:v>
                </c:pt>
                <c:pt idx="531">
                  <c:v>289.8720703</c:v>
                </c:pt>
                <c:pt idx="532">
                  <c:v>290.4179688</c:v>
                </c:pt>
                <c:pt idx="533">
                  <c:v>290.9638672</c:v>
                </c:pt>
                <c:pt idx="534">
                  <c:v>291.5097656</c:v>
                </c:pt>
                <c:pt idx="535">
                  <c:v>292.0556641</c:v>
                </c:pt>
                <c:pt idx="536">
                  <c:v>292.6015625</c:v>
                </c:pt>
                <c:pt idx="537">
                  <c:v>293.1474609</c:v>
                </c:pt>
                <c:pt idx="538">
                  <c:v>293.6933594</c:v>
                </c:pt>
                <c:pt idx="539">
                  <c:v>294.2392578</c:v>
                </c:pt>
                <c:pt idx="540">
                  <c:v>294.7851563</c:v>
                </c:pt>
                <c:pt idx="541">
                  <c:v>295.3310547</c:v>
                </c:pt>
                <c:pt idx="542">
                  <c:v>295.8769531</c:v>
                </c:pt>
                <c:pt idx="543">
                  <c:v>296.4228516</c:v>
                </c:pt>
                <c:pt idx="544">
                  <c:v>296.96875</c:v>
                </c:pt>
                <c:pt idx="545">
                  <c:v>297.5146484</c:v>
                </c:pt>
                <c:pt idx="546">
                  <c:v>298.0605469</c:v>
                </c:pt>
                <c:pt idx="547">
                  <c:v>298.6064453</c:v>
                </c:pt>
                <c:pt idx="548">
                  <c:v>299.1523438</c:v>
                </c:pt>
                <c:pt idx="549">
                  <c:v>299.6982422</c:v>
                </c:pt>
                <c:pt idx="550">
                  <c:v>300.2441406</c:v>
                </c:pt>
                <c:pt idx="551">
                  <c:v>300.7900391</c:v>
                </c:pt>
                <c:pt idx="552">
                  <c:v>301.3359375</c:v>
                </c:pt>
                <c:pt idx="553">
                  <c:v>301.8818359</c:v>
                </c:pt>
                <c:pt idx="554">
                  <c:v>302.4277344</c:v>
                </c:pt>
                <c:pt idx="555">
                  <c:v>302.9736328</c:v>
                </c:pt>
                <c:pt idx="556">
                  <c:v>303.5195313</c:v>
                </c:pt>
                <c:pt idx="557">
                  <c:v>304.0654297</c:v>
                </c:pt>
                <c:pt idx="558">
                  <c:v>304.6113281</c:v>
                </c:pt>
                <c:pt idx="559">
                  <c:v>305.1572266</c:v>
                </c:pt>
                <c:pt idx="560">
                  <c:v>305.703125</c:v>
                </c:pt>
                <c:pt idx="561">
                  <c:v>306.2490234</c:v>
                </c:pt>
                <c:pt idx="562">
                  <c:v>306.7949219</c:v>
                </c:pt>
                <c:pt idx="563">
                  <c:v>307.3408203</c:v>
                </c:pt>
                <c:pt idx="564">
                  <c:v>307.8867188</c:v>
                </c:pt>
                <c:pt idx="565">
                  <c:v>308.4326172</c:v>
                </c:pt>
                <c:pt idx="566">
                  <c:v>308.9785156</c:v>
                </c:pt>
                <c:pt idx="567">
                  <c:v>309.5244141</c:v>
                </c:pt>
                <c:pt idx="568">
                  <c:v>310.0703125</c:v>
                </c:pt>
                <c:pt idx="569">
                  <c:v>310.6162109</c:v>
                </c:pt>
                <c:pt idx="570">
                  <c:v>311.1621094</c:v>
                </c:pt>
                <c:pt idx="571">
                  <c:v>311.7080078</c:v>
                </c:pt>
                <c:pt idx="572">
                  <c:v>312.2539063</c:v>
                </c:pt>
                <c:pt idx="573">
                  <c:v>312.7998047</c:v>
                </c:pt>
                <c:pt idx="574">
                  <c:v>313.3457031</c:v>
                </c:pt>
                <c:pt idx="575">
                  <c:v>313.8916016</c:v>
                </c:pt>
                <c:pt idx="576">
                  <c:v>314.4375</c:v>
                </c:pt>
                <c:pt idx="577">
                  <c:v>314.9833984</c:v>
                </c:pt>
                <c:pt idx="578">
                  <c:v>315.5292969</c:v>
                </c:pt>
                <c:pt idx="579">
                  <c:v>316.0751953</c:v>
                </c:pt>
                <c:pt idx="580">
                  <c:v>316.6210938</c:v>
                </c:pt>
                <c:pt idx="581">
                  <c:v>317.1669922</c:v>
                </c:pt>
                <c:pt idx="582">
                  <c:v>317.7128906</c:v>
                </c:pt>
                <c:pt idx="583">
                  <c:v>318.2587891</c:v>
                </c:pt>
                <c:pt idx="584">
                  <c:v>318.8046875</c:v>
                </c:pt>
                <c:pt idx="585">
                  <c:v>319.3505859</c:v>
                </c:pt>
                <c:pt idx="586">
                  <c:v>319.8964844</c:v>
                </c:pt>
                <c:pt idx="587">
                  <c:v>320.4423828</c:v>
                </c:pt>
                <c:pt idx="588">
                  <c:v>320.9882813</c:v>
                </c:pt>
                <c:pt idx="589">
                  <c:v>321.5341797</c:v>
                </c:pt>
                <c:pt idx="590">
                  <c:v>322.0800781</c:v>
                </c:pt>
                <c:pt idx="591">
                  <c:v>322.6259766</c:v>
                </c:pt>
                <c:pt idx="592">
                  <c:v>323.171875</c:v>
                </c:pt>
                <c:pt idx="593">
                  <c:v>323.7177734</c:v>
                </c:pt>
                <c:pt idx="594">
                  <c:v>324.2636719</c:v>
                </c:pt>
                <c:pt idx="595">
                  <c:v>324.8095703</c:v>
                </c:pt>
                <c:pt idx="596">
                  <c:v>325.3554688</c:v>
                </c:pt>
                <c:pt idx="597">
                  <c:v>325.9013672</c:v>
                </c:pt>
                <c:pt idx="598">
                  <c:v>326.4472656</c:v>
                </c:pt>
                <c:pt idx="599">
                  <c:v>326.9931641</c:v>
                </c:pt>
                <c:pt idx="600">
                  <c:v>327.5390625</c:v>
                </c:pt>
                <c:pt idx="601">
                  <c:v>328.0849609</c:v>
                </c:pt>
                <c:pt idx="602">
                  <c:v>328.6308594</c:v>
                </c:pt>
                <c:pt idx="603">
                  <c:v>329.1767578</c:v>
                </c:pt>
                <c:pt idx="604">
                  <c:v>329.7226563</c:v>
                </c:pt>
                <c:pt idx="605">
                  <c:v>330.2685547</c:v>
                </c:pt>
                <c:pt idx="606">
                  <c:v>330.8144531</c:v>
                </c:pt>
                <c:pt idx="607">
                  <c:v>331.3603516</c:v>
                </c:pt>
                <c:pt idx="608">
                  <c:v>331.90625</c:v>
                </c:pt>
                <c:pt idx="609">
                  <c:v>332.4521484</c:v>
                </c:pt>
                <c:pt idx="610">
                  <c:v>332.9980469</c:v>
                </c:pt>
                <c:pt idx="611">
                  <c:v>333.5439453</c:v>
                </c:pt>
                <c:pt idx="612">
                  <c:v>334.0898438</c:v>
                </c:pt>
                <c:pt idx="613">
                  <c:v>334.6357422</c:v>
                </c:pt>
                <c:pt idx="614">
                  <c:v>335.1816406</c:v>
                </c:pt>
                <c:pt idx="615">
                  <c:v>335.7275391</c:v>
                </c:pt>
                <c:pt idx="616">
                  <c:v>336.2734375</c:v>
                </c:pt>
                <c:pt idx="617">
                  <c:v>336.8193359</c:v>
                </c:pt>
                <c:pt idx="618">
                  <c:v>337.3652344</c:v>
                </c:pt>
                <c:pt idx="619">
                  <c:v>337.9111328</c:v>
                </c:pt>
                <c:pt idx="620">
                  <c:v>338.4570313</c:v>
                </c:pt>
                <c:pt idx="621">
                  <c:v>339.0029297</c:v>
                </c:pt>
                <c:pt idx="622">
                  <c:v>339.5488281</c:v>
                </c:pt>
                <c:pt idx="623">
                  <c:v>340.0947266</c:v>
                </c:pt>
                <c:pt idx="624">
                  <c:v>340.640625</c:v>
                </c:pt>
                <c:pt idx="625">
                  <c:v>341.1865234</c:v>
                </c:pt>
                <c:pt idx="626">
                  <c:v>341.7324219</c:v>
                </c:pt>
                <c:pt idx="627">
                  <c:v>342.2783203</c:v>
                </c:pt>
                <c:pt idx="628">
                  <c:v>342.8242188</c:v>
                </c:pt>
                <c:pt idx="629">
                  <c:v>343.3701172</c:v>
                </c:pt>
                <c:pt idx="630">
                  <c:v>343.9160156</c:v>
                </c:pt>
                <c:pt idx="631">
                  <c:v>344.4619141</c:v>
                </c:pt>
                <c:pt idx="632">
                  <c:v>345.0078125</c:v>
                </c:pt>
                <c:pt idx="633">
                  <c:v>345.5537109</c:v>
                </c:pt>
                <c:pt idx="634">
                  <c:v>346.0996094</c:v>
                </c:pt>
                <c:pt idx="635">
                  <c:v>346.6455078</c:v>
                </c:pt>
                <c:pt idx="636">
                  <c:v>347.1914063</c:v>
                </c:pt>
                <c:pt idx="637">
                  <c:v>347.7373047</c:v>
                </c:pt>
                <c:pt idx="638">
                  <c:v>348.2832031</c:v>
                </c:pt>
                <c:pt idx="639">
                  <c:v>348.8291016</c:v>
                </c:pt>
                <c:pt idx="640">
                  <c:v>349.375</c:v>
                </c:pt>
                <c:pt idx="641">
                  <c:v>349.9208984</c:v>
                </c:pt>
                <c:pt idx="642">
                  <c:v>350.4667969</c:v>
                </c:pt>
                <c:pt idx="643">
                  <c:v>351.0126953</c:v>
                </c:pt>
                <c:pt idx="644">
                  <c:v>351.5585938</c:v>
                </c:pt>
                <c:pt idx="645">
                  <c:v>352.1044922</c:v>
                </c:pt>
                <c:pt idx="646">
                  <c:v>352.6503906</c:v>
                </c:pt>
                <c:pt idx="647">
                  <c:v>353.1962891</c:v>
                </c:pt>
                <c:pt idx="648">
                  <c:v>353.7421875</c:v>
                </c:pt>
                <c:pt idx="649">
                  <c:v>354.2880859</c:v>
                </c:pt>
                <c:pt idx="650">
                  <c:v>354.8339844</c:v>
                </c:pt>
                <c:pt idx="651">
                  <c:v>355.3798828</c:v>
                </c:pt>
                <c:pt idx="652">
                  <c:v>355.9257813</c:v>
                </c:pt>
                <c:pt idx="653">
                  <c:v>356.4716797</c:v>
                </c:pt>
                <c:pt idx="654">
                  <c:v>357.0175781</c:v>
                </c:pt>
                <c:pt idx="655">
                  <c:v>357.5634766</c:v>
                </c:pt>
                <c:pt idx="656">
                  <c:v>358.109375</c:v>
                </c:pt>
                <c:pt idx="657">
                  <c:v>358.6552734</c:v>
                </c:pt>
                <c:pt idx="658">
                  <c:v>359.2011719</c:v>
                </c:pt>
                <c:pt idx="659">
                  <c:v>359.7470703</c:v>
                </c:pt>
                <c:pt idx="660">
                  <c:v>360.2929688</c:v>
                </c:pt>
                <c:pt idx="661">
                  <c:v>360.8388672</c:v>
                </c:pt>
                <c:pt idx="662">
                  <c:v>361.3847656</c:v>
                </c:pt>
                <c:pt idx="663">
                  <c:v>361.9306641</c:v>
                </c:pt>
                <c:pt idx="664">
                  <c:v>362.4765625</c:v>
                </c:pt>
                <c:pt idx="665">
                  <c:v>363.0224609</c:v>
                </c:pt>
                <c:pt idx="666">
                  <c:v>363.5683594</c:v>
                </c:pt>
                <c:pt idx="667">
                  <c:v>364.1142578</c:v>
                </c:pt>
                <c:pt idx="668">
                  <c:v>364.6601563</c:v>
                </c:pt>
                <c:pt idx="669">
                  <c:v>365.2060547</c:v>
                </c:pt>
                <c:pt idx="670">
                  <c:v>365.7519531</c:v>
                </c:pt>
                <c:pt idx="671">
                  <c:v>366.2978516</c:v>
                </c:pt>
                <c:pt idx="672">
                  <c:v>366.84375</c:v>
                </c:pt>
                <c:pt idx="673">
                  <c:v>367.3896484</c:v>
                </c:pt>
                <c:pt idx="674">
                  <c:v>367.9355469</c:v>
                </c:pt>
                <c:pt idx="675">
                  <c:v>368.4814453</c:v>
                </c:pt>
                <c:pt idx="676">
                  <c:v>369.0273438</c:v>
                </c:pt>
                <c:pt idx="677">
                  <c:v>369.5732422</c:v>
                </c:pt>
                <c:pt idx="678">
                  <c:v>370.1191406</c:v>
                </c:pt>
                <c:pt idx="679">
                  <c:v>370.6650391</c:v>
                </c:pt>
                <c:pt idx="680">
                  <c:v>371.2109375</c:v>
                </c:pt>
                <c:pt idx="681">
                  <c:v>371.7568359</c:v>
                </c:pt>
                <c:pt idx="682">
                  <c:v>372.3027344</c:v>
                </c:pt>
                <c:pt idx="683">
                  <c:v>372.8486328</c:v>
                </c:pt>
                <c:pt idx="684">
                  <c:v>373.3945313</c:v>
                </c:pt>
                <c:pt idx="685">
                  <c:v>373.9404297</c:v>
                </c:pt>
                <c:pt idx="686">
                  <c:v>374.4863281</c:v>
                </c:pt>
                <c:pt idx="687">
                  <c:v>375.0322266</c:v>
                </c:pt>
                <c:pt idx="688">
                  <c:v>375.578125</c:v>
                </c:pt>
                <c:pt idx="689">
                  <c:v>376.1240234</c:v>
                </c:pt>
                <c:pt idx="690">
                  <c:v>376.6699219</c:v>
                </c:pt>
                <c:pt idx="691">
                  <c:v>377.2158203</c:v>
                </c:pt>
                <c:pt idx="692">
                  <c:v>377.7617188</c:v>
                </c:pt>
                <c:pt idx="693">
                  <c:v>378.3076172</c:v>
                </c:pt>
                <c:pt idx="694">
                  <c:v>378.8535156</c:v>
                </c:pt>
                <c:pt idx="695">
                  <c:v>379.3994141</c:v>
                </c:pt>
                <c:pt idx="696">
                  <c:v>379.9453125</c:v>
                </c:pt>
                <c:pt idx="697">
                  <c:v>380.4912109</c:v>
                </c:pt>
                <c:pt idx="698">
                  <c:v>381.0371094</c:v>
                </c:pt>
                <c:pt idx="699">
                  <c:v>381.5830078</c:v>
                </c:pt>
                <c:pt idx="700">
                  <c:v>382.1289063</c:v>
                </c:pt>
                <c:pt idx="701">
                  <c:v>382.6748047</c:v>
                </c:pt>
                <c:pt idx="702">
                  <c:v>383.2207031</c:v>
                </c:pt>
                <c:pt idx="703">
                  <c:v>383.7666016</c:v>
                </c:pt>
                <c:pt idx="704">
                  <c:v>384.3125</c:v>
                </c:pt>
                <c:pt idx="705">
                  <c:v>384.8583984</c:v>
                </c:pt>
                <c:pt idx="706">
                  <c:v>385.4042969</c:v>
                </c:pt>
                <c:pt idx="707">
                  <c:v>385.9501953</c:v>
                </c:pt>
                <c:pt idx="708">
                  <c:v>386.4960938</c:v>
                </c:pt>
                <c:pt idx="709">
                  <c:v>387.0419922</c:v>
                </c:pt>
                <c:pt idx="710">
                  <c:v>387.5878906</c:v>
                </c:pt>
                <c:pt idx="711">
                  <c:v>388.1337891</c:v>
                </c:pt>
                <c:pt idx="712">
                  <c:v>388.6796875</c:v>
                </c:pt>
                <c:pt idx="713">
                  <c:v>389.2255859</c:v>
                </c:pt>
                <c:pt idx="714">
                  <c:v>389.7714844</c:v>
                </c:pt>
                <c:pt idx="715">
                  <c:v>390.3173828</c:v>
                </c:pt>
                <c:pt idx="716">
                  <c:v>390.8632813</c:v>
                </c:pt>
                <c:pt idx="717">
                  <c:v>391.4091797</c:v>
                </c:pt>
                <c:pt idx="718">
                  <c:v>391.9550781</c:v>
                </c:pt>
                <c:pt idx="719">
                  <c:v>392.5009766</c:v>
                </c:pt>
                <c:pt idx="720">
                  <c:v>393.046875</c:v>
                </c:pt>
                <c:pt idx="721">
                  <c:v>393.5927734</c:v>
                </c:pt>
                <c:pt idx="722">
                  <c:v>394.1386719</c:v>
                </c:pt>
                <c:pt idx="723">
                  <c:v>394.6845703</c:v>
                </c:pt>
                <c:pt idx="724">
                  <c:v>395.2304688</c:v>
                </c:pt>
                <c:pt idx="725">
                  <c:v>395.7763672</c:v>
                </c:pt>
                <c:pt idx="726">
                  <c:v>396.3222656</c:v>
                </c:pt>
                <c:pt idx="727">
                  <c:v>396.8681641</c:v>
                </c:pt>
                <c:pt idx="728">
                  <c:v>397.4140625</c:v>
                </c:pt>
                <c:pt idx="729">
                  <c:v>397.9599609</c:v>
                </c:pt>
                <c:pt idx="730">
                  <c:v>398.5058594</c:v>
                </c:pt>
                <c:pt idx="731">
                  <c:v>399.0517578</c:v>
                </c:pt>
                <c:pt idx="732">
                  <c:v>399.5976563</c:v>
                </c:pt>
                <c:pt idx="733">
                  <c:v>400.1435547</c:v>
                </c:pt>
                <c:pt idx="734">
                  <c:v>400.6894531</c:v>
                </c:pt>
                <c:pt idx="735">
                  <c:v>401.2353516</c:v>
                </c:pt>
                <c:pt idx="736">
                  <c:v>401.78125</c:v>
                </c:pt>
                <c:pt idx="737">
                  <c:v>402.3271484</c:v>
                </c:pt>
                <c:pt idx="738">
                  <c:v>402.8730469</c:v>
                </c:pt>
                <c:pt idx="739">
                  <c:v>403.4189453</c:v>
                </c:pt>
                <c:pt idx="740">
                  <c:v>403.9648438</c:v>
                </c:pt>
                <c:pt idx="741">
                  <c:v>404.5107422</c:v>
                </c:pt>
                <c:pt idx="742">
                  <c:v>405.0566406</c:v>
                </c:pt>
                <c:pt idx="743">
                  <c:v>405.6025391</c:v>
                </c:pt>
                <c:pt idx="744">
                  <c:v>406.1484375</c:v>
                </c:pt>
                <c:pt idx="745">
                  <c:v>406.6943359</c:v>
                </c:pt>
                <c:pt idx="746">
                  <c:v>407.2402344</c:v>
                </c:pt>
                <c:pt idx="747">
                  <c:v>407.7861328</c:v>
                </c:pt>
                <c:pt idx="748">
                  <c:v>408.3320313</c:v>
                </c:pt>
                <c:pt idx="749">
                  <c:v>408.8779297</c:v>
                </c:pt>
                <c:pt idx="750">
                  <c:v>409.4238281</c:v>
                </c:pt>
                <c:pt idx="751">
                  <c:v>409.9697266</c:v>
                </c:pt>
                <c:pt idx="752">
                  <c:v>410.515625</c:v>
                </c:pt>
                <c:pt idx="753">
                  <c:v>411.0615234</c:v>
                </c:pt>
                <c:pt idx="754">
                  <c:v>411.6074219</c:v>
                </c:pt>
                <c:pt idx="755">
                  <c:v>412.1533203</c:v>
                </c:pt>
                <c:pt idx="756">
                  <c:v>412.6992188</c:v>
                </c:pt>
                <c:pt idx="757">
                  <c:v>413.2451172</c:v>
                </c:pt>
                <c:pt idx="758">
                  <c:v>413.7910156</c:v>
                </c:pt>
                <c:pt idx="759">
                  <c:v>414.3369141</c:v>
                </c:pt>
                <c:pt idx="760">
                  <c:v>414.8828125</c:v>
                </c:pt>
                <c:pt idx="761">
                  <c:v>415.4287109</c:v>
                </c:pt>
                <c:pt idx="762">
                  <c:v>415.9746094</c:v>
                </c:pt>
                <c:pt idx="763">
                  <c:v>416.5205078</c:v>
                </c:pt>
                <c:pt idx="764">
                  <c:v>417.0664063</c:v>
                </c:pt>
                <c:pt idx="765">
                  <c:v>417.6123047</c:v>
                </c:pt>
                <c:pt idx="766">
                  <c:v>418.1582031</c:v>
                </c:pt>
                <c:pt idx="767">
                  <c:v>418.7041016</c:v>
                </c:pt>
                <c:pt idx="768">
                  <c:v>419.25</c:v>
                </c:pt>
                <c:pt idx="769">
                  <c:v>419.7958984</c:v>
                </c:pt>
                <c:pt idx="770">
                  <c:v>420.3417969</c:v>
                </c:pt>
                <c:pt idx="771">
                  <c:v>420.8876953</c:v>
                </c:pt>
                <c:pt idx="772">
                  <c:v>421.4335938</c:v>
                </c:pt>
                <c:pt idx="773">
                  <c:v>421.9794922</c:v>
                </c:pt>
                <c:pt idx="774">
                  <c:v>422.5253906</c:v>
                </c:pt>
                <c:pt idx="775">
                  <c:v>423.0712891</c:v>
                </c:pt>
                <c:pt idx="776">
                  <c:v>423.6171875</c:v>
                </c:pt>
                <c:pt idx="777">
                  <c:v>424.1630859</c:v>
                </c:pt>
                <c:pt idx="778">
                  <c:v>424.7089844</c:v>
                </c:pt>
                <c:pt idx="779">
                  <c:v>425.2548828</c:v>
                </c:pt>
                <c:pt idx="780">
                  <c:v>425.8007813</c:v>
                </c:pt>
                <c:pt idx="781">
                  <c:v>426.3466797</c:v>
                </c:pt>
                <c:pt idx="782">
                  <c:v>426.8925781</c:v>
                </c:pt>
                <c:pt idx="783">
                  <c:v>427.4384766</c:v>
                </c:pt>
                <c:pt idx="784">
                  <c:v>427.984375</c:v>
                </c:pt>
                <c:pt idx="785">
                  <c:v>428.5302734</c:v>
                </c:pt>
                <c:pt idx="786">
                  <c:v>429.0761719</c:v>
                </c:pt>
                <c:pt idx="787">
                  <c:v>429.6220703</c:v>
                </c:pt>
                <c:pt idx="788">
                  <c:v>430.1679688</c:v>
                </c:pt>
                <c:pt idx="789">
                  <c:v>430.7138672</c:v>
                </c:pt>
                <c:pt idx="790">
                  <c:v>431.2597656</c:v>
                </c:pt>
                <c:pt idx="791">
                  <c:v>431.8056641</c:v>
                </c:pt>
                <c:pt idx="792">
                  <c:v>432.3515625</c:v>
                </c:pt>
                <c:pt idx="793">
                  <c:v>432.8974609</c:v>
                </c:pt>
                <c:pt idx="794">
                  <c:v>433.4433594</c:v>
                </c:pt>
                <c:pt idx="795">
                  <c:v>433.9892578</c:v>
                </c:pt>
                <c:pt idx="796">
                  <c:v>434.5351563</c:v>
                </c:pt>
                <c:pt idx="797">
                  <c:v>435.0810547</c:v>
                </c:pt>
                <c:pt idx="798">
                  <c:v>435.6269531</c:v>
                </c:pt>
                <c:pt idx="799">
                  <c:v>436.1728516</c:v>
                </c:pt>
                <c:pt idx="800">
                  <c:v>436.71875</c:v>
                </c:pt>
                <c:pt idx="801">
                  <c:v>437.2646484</c:v>
                </c:pt>
                <c:pt idx="802">
                  <c:v>437.8105469</c:v>
                </c:pt>
                <c:pt idx="803">
                  <c:v>438.3564453</c:v>
                </c:pt>
                <c:pt idx="804">
                  <c:v>438.9023438</c:v>
                </c:pt>
                <c:pt idx="805">
                  <c:v>439.4482422</c:v>
                </c:pt>
                <c:pt idx="806">
                  <c:v>439.9941406</c:v>
                </c:pt>
                <c:pt idx="807">
                  <c:v>440.5400391</c:v>
                </c:pt>
                <c:pt idx="808">
                  <c:v>441.0859375</c:v>
                </c:pt>
                <c:pt idx="809">
                  <c:v>441.6318359</c:v>
                </c:pt>
                <c:pt idx="810">
                  <c:v>442.1777344</c:v>
                </c:pt>
                <c:pt idx="811">
                  <c:v>442.7236328</c:v>
                </c:pt>
                <c:pt idx="812">
                  <c:v>443.2695313</c:v>
                </c:pt>
                <c:pt idx="813">
                  <c:v>443.8154297</c:v>
                </c:pt>
                <c:pt idx="814">
                  <c:v>444.3613281</c:v>
                </c:pt>
                <c:pt idx="815">
                  <c:v>444.9072266</c:v>
                </c:pt>
                <c:pt idx="816">
                  <c:v>445.453125</c:v>
                </c:pt>
                <c:pt idx="817">
                  <c:v>445.9990234</c:v>
                </c:pt>
                <c:pt idx="818">
                  <c:v>446.5449219</c:v>
                </c:pt>
                <c:pt idx="819">
                  <c:v>447.0908203</c:v>
                </c:pt>
                <c:pt idx="820">
                  <c:v>447.6367188</c:v>
                </c:pt>
                <c:pt idx="821">
                  <c:v>448.1826172</c:v>
                </c:pt>
                <c:pt idx="822">
                  <c:v>448.7285156</c:v>
                </c:pt>
                <c:pt idx="823">
                  <c:v>449.2744141</c:v>
                </c:pt>
                <c:pt idx="824">
                  <c:v>449.8203125</c:v>
                </c:pt>
                <c:pt idx="825">
                  <c:v>450.3662109</c:v>
                </c:pt>
                <c:pt idx="826">
                  <c:v>450.9121094</c:v>
                </c:pt>
                <c:pt idx="827">
                  <c:v>451.4580078</c:v>
                </c:pt>
                <c:pt idx="828">
                  <c:v>452.0039063</c:v>
                </c:pt>
                <c:pt idx="829">
                  <c:v>452.5498047</c:v>
                </c:pt>
                <c:pt idx="830">
                  <c:v>453.0957031</c:v>
                </c:pt>
                <c:pt idx="831">
                  <c:v>453.6416016</c:v>
                </c:pt>
                <c:pt idx="832">
                  <c:v>454.1875</c:v>
                </c:pt>
                <c:pt idx="833">
                  <c:v>454.7333984</c:v>
                </c:pt>
                <c:pt idx="834">
                  <c:v>455.2792969</c:v>
                </c:pt>
                <c:pt idx="835">
                  <c:v>455.8251953</c:v>
                </c:pt>
                <c:pt idx="836">
                  <c:v>456.3710938</c:v>
                </c:pt>
                <c:pt idx="837">
                  <c:v>456.9169922</c:v>
                </c:pt>
                <c:pt idx="838">
                  <c:v>457.4628906</c:v>
                </c:pt>
                <c:pt idx="839">
                  <c:v>458.0087891</c:v>
                </c:pt>
                <c:pt idx="840">
                  <c:v>458.5546875</c:v>
                </c:pt>
                <c:pt idx="841">
                  <c:v>459.1005859</c:v>
                </c:pt>
                <c:pt idx="842">
                  <c:v>459.6464844</c:v>
                </c:pt>
                <c:pt idx="843">
                  <c:v>460.1923828</c:v>
                </c:pt>
                <c:pt idx="844">
                  <c:v>460.7382813</c:v>
                </c:pt>
                <c:pt idx="845">
                  <c:v>461.2841797</c:v>
                </c:pt>
                <c:pt idx="846">
                  <c:v>461.8300781</c:v>
                </c:pt>
                <c:pt idx="847">
                  <c:v>462.3759766</c:v>
                </c:pt>
                <c:pt idx="848">
                  <c:v>462.921875</c:v>
                </c:pt>
                <c:pt idx="849">
                  <c:v>463.4677734</c:v>
                </c:pt>
                <c:pt idx="850">
                  <c:v>464.0136719</c:v>
                </c:pt>
                <c:pt idx="851">
                  <c:v>464.5595703</c:v>
                </c:pt>
                <c:pt idx="852">
                  <c:v>465.1054688</c:v>
                </c:pt>
                <c:pt idx="853">
                  <c:v>465.6513672</c:v>
                </c:pt>
                <c:pt idx="854">
                  <c:v>466.1972656</c:v>
                </c:pt>
                <c:pt idx="855">
                  <c:v>466.7431641</c:v>
                </c:pt>
                <c:pt idx="856">
                  <c:v>467.2890625</c:v>
                </c:pt>
                <c:pt idx="857">
                  <c:v>467.8349609</c:v>
                </c:pt>
                <c:pt idx="858">
                  <c:v>468.3808594</c:v>
                </c:pt>
                <c:pt idx="859">
                  <c:v>468.9267578</c:v>
                </c:pt>
                <c:pt idx="860">
                  <c:v>469.4726563</c:v>
                </c:pt>
                <c:pt idx="861">
                  <c:v>470.0185547</c:v>
                </c:pt>
                <c:pt idx="862">
                  <c:v>470.5644531</c:v>
                </c:pt>
                <c:pt idx="863">
                  <c:v>471.1103516</c:v>
                </c:pt>
                <c:pt idx="864">
                  <c:v>471.65625</c:v>
                </c:pt>
                <c:pt idx="865">
                  <c:v>472.2021484</c:v>
                </c:pt>
                <c:pt idx="866">
                  <c:v>472.7480469</c:v>
                </c:pt>
                <c:pt idx="867">
                  <c:v>473.2939453</c:v>
                </c:pt>
                <c:pt idx="868">
                  <c:v>473.8398438</c:v>
                </c:pt>
                <c:pt idx="869">
                  <c:v>474.3857422</c:v>
                </c:pt>
                <c:pt idx="870">
                  <c:v>474.9316406</c:v>
                </c:pt>
                <c:pt idx="871">
                  <c:v>475.4775391</c:v>
                </c:pt>
                <c:pt idx="872">
                  <c:v>476.0234375</c:v>
                </c:pt>
                <c:pt idx="873">
                  <c:v>476.5693359</c:v>
                </c:pt>
                <c:pt idx="874">
                  <c:v>477.1152344</c:v>
                </c:pt>
                <c:pt idx="875">
                  <c:v>477.6611328</c:v>
                </c:pt>
                <c:pt idx="876">
                  <c:v>478.2070313</c:v>
                </c:pt>
                <c:pt idx="877">
                  <c:v>478.7529297</c:v>
                </c:pt>
                <c:pt idx="878">
                  <c:v>479.2988281</c:v>
                </c:pt>
                <c:pt idx="879">
                  <c:v>479.8447266</c:v>
                </c:pt>
                <c:pt idx="880">
                  <c:v>480.390625</c:v>
                </c:pt>
                <c:pt idx="881">
                  <c:v>480.9365234</c:v>
                </c:pt>
                <c:pt idx="882">
                  <c:v>481.4824219</c:v>
                </c:pt>
                <c:pt idx="883">
                  <c:v>482.0283203</c:v>
                </c:pt>
                <c:pt idx="884">
                  <c:v>482.5742188</c:v>
                </c:pt>
                <c:pt idx="885">
                  <c:v>483.1201172</c:v>
                </c:pt>
                <c:pt idx="886">
                  <c:v>483.6660156</c:v>
                </c:pt>
                <c:pt idx="887">
                  <c:v>484.2119141</c:v>
                </c:pt>
                <c:pt idx="888">
                  <c:v>484.7578125</c:v>
                </c:pt>
                <c:pt idx="889">
                  <c:v>485.3037109</c:v>
                </c:pt>
                <c:pt idx="890">
                  <c:v>485.8496094</c:v>
                </c:pt>
                <c:pt idx="891">
                  <c:v>486.3955078</c:v>
                </c:pt>
                <c:pt idx="892">
                  <c:v>486.9414063</c:v>
                </c:pt>
                <c:pt idx="893">
                  <c:v>487.4873047</c:v>
                </c:pt>
                <c:pt idx="894">
                  <c:v>488.0332031</c:v>
                </c:pt>
                <c:pt idx="895">
                  <c:v>488.5791016</c:v>
                </c:pt>
                <c:pt idx="896">
                  <c:v>489.125</c:v>
                </c:pt>
                <c:pt idx="897">
                  <c:v>489.6708984</c:v>
                </c:pt>
                <c:pt idx="898">
                  <c:v>490.2167969</c:v>
                </c:pt>
                <c:pt idx="899">
                  <c:v>490.7626953</c:v>
                </c:pt>
                <c:pt idx="900">
                  <c:v>491.3085938</c:v>
                </c:pt>
                <c:pt idx="901">
                  <c:v>491.8544922</c:v>
                </c:pt>
                <c:pt idx="902">
                  <c:v>492.4003906</c:v>
                </c:pt>
                <c:pt idx="903">
                  <c:v>492.9462891</c:v>
                </c:pt>
                <c:pt idx="904">
                  <c:v>493.4921875</c:v>
                </c:pt>
                <c:pt idx="905">
                  <c:v>494.0380859</c:v>
                </c:pt>
                <c:pt idx="906">
                  <c:v>494.5839844</c:v>
                </c:pt>
                <c:pt idx="907">
                  <c:v>495.1298828</c:v>
                </c:pt>
                <c:pt idx="908">
                  <c:v>495.6757813</c:v>
                </c:pt>
                <c:pt idx="909">
                  <c:v>496.2216797</c:v>
                </c:pt>
                <c:pt idx="910">
                  <c:v>496.7675781</c:v>
                </c:pt>
                <c:pt idx="911">
                  <c:v>497.3134766</c:v>
                </c:pt>
                <c:pt idx="912">
                  <c:v>497.859375</c:v>
                </c:pt>
                <c:pt idx="913">
                  <c:v>498.4052734</c:v>
                </c:pt>
                <c:pt idx="914">
                  <c:v>498.9511719</c:v>
                </c:pt>
                <c:pt idx="915">
                  <c:v>499.4970703</c:v>
                </c:pt>
                <c:pt idx="916">
                  <c:v>500.0429688</c:v>
                </c:pt>
                <c:pt idx="917">
                  <c:v>500.5888672</c:v>
                </c:pt>
                <c:pt idx="918">
                  <c:v>501.1347656</c:v>
                </c:pt>
                <c:pt idx="919">
                  <c:v>501.6806641</c:v>
                </c:pt>
                <c:pt idx="920">
                  <c:v>502.2265625</c:v>
                </c:pt>
                <c:pt idx="921">
                  <c:v>502.7724609</c:v>
                </c:pt>
                <c:pt idx="922">
                  <c:v>503.3183594</c:v>
                </c:pt>
                <c:pt idx="923">
                  <c:v>503.8642578</c:v>
                </c:pt>
                <c:pt idx="924">
                  <c:v>504.4101563</c:v>
                </c:pt>
                <c:pt idx="925">
                  <c:v>504.9560547</c:v>
                </c:pt>
                <c:pt idx="926">
                  <c:v>505.5019531</c:v>
                </c:pt>
                <c:pt idx="927">
                  <c:v>506.0478516</c:v>
                </c:pt>
                <c:pt idx="928">
                  <c:v>506.59375</c:v>
                </c:pt>
                <c:pt idx="929">
                  <c:v>507.1396484</c:v>
                </c:pt>
                <c:pt idx="930">
                  <c:v>507.6855469</c:v>
                </c:pt>
                <c:pt idx="931">
                  <c:v>508.2314453</c:v>
                </c:pt>
                <c:pt idx="932">
                  <c:v>508.7773438</c:v>
                </c:pt>
                <c:pt idx="933">
                  <c:v>509.3232422</c:v>
                </c:pt>
                <c:pt idx="934">
                  <c:v>509.8691406</c:v>
                </c:pt>
                <c:pt idx="935">
                  <c:v>510.4150391</c:v>
                </c:pt>
                <c:pt idx="936">
                  <c:v>510.9609375</c:v>
                </c:pt>
                <c:pt idx="937">
                  <c:v>511.5068359</c:v>
                </c:pt>
                <c:pt idx="938">
                  <c:v>512.0527344</c:v>
                </c:pt>
                <c:pt idx="939">
                  <c:v>512.5986328</c:v>
                </c:pt>
                <c:pt idx="940">
                  <c:v>513.1445313</c:v>
                </c:pt>
                <c:pt idx="941">
                  <c:v>513.6904297</c:v>
                </c:pt>
                <c:pt idx="942">
                  <c:v>514.2363281</c:v>
                </c:pt>
                <c:pt idx="943">
                  <c:v>514.7822266</c:v>
                </c:pt>
                <c:pt idx="944">
                  <c:v>515.328125</c:v>
                </c:pt>
                <c:pt idx="945">
                  <c:v>515.8740234</c:v>
                </c:pt>
                <c:pt idx="946">
                  <c:v>516.4199219</c:v>
                </c:pt>
                <c:pt idx="947">
                  <c:v>516.9658203</c:v>
                </c:pt>
                <c:pt idx="948">
                  <c:v>517.5117188</c:v>
                </c:pt>
                <c:pt idx="949">
                  <c:v>518.0576172</c:v>
                </c:pt>
                <c:pt idx="950">
                  <c:v>518.6035156</c:v>
                </c:pt>
                <c:pt idx="951">
                  <c:v>519.1494141</c:v>
                </c:pt>
                <c:pt idx="952">
                  <c:v>519.6953125</c:v>
                </c:pt>
                <c:pt idx="953">
                  <c:v>520.2412109</c:v>
                </c:pt>
                <c:pt idx="954">
                  <c:v>520.7871094</c:v>
                </c:pt>
                <c:pt idx="955">
                  <c:v>521.3330078</c:v>
                </c:pt>
                <c:pt idx="956">
                  <c:v>521.8789063</c:v>
                </c:pt>
                <c:pt idx="957">
                  <c:v>522.4248047</c:v>
                </c:pt>
                <c:pt idx="958">
                  <c:v>522.9707031</c:v>
                </c:pt>
                <c:pt idx="959">
                  <c:v>523.5166016</c:v>
                </c:pt>
                <c:pt idx="960">
                  <c:v>524.0625</c:v>
                </c:pt>
                <c:pt idx="961">
                  <c:v>524.6083984</c:v>
                </c:pt>
                <c:pt idx="962">
                  <c:v>525.1542969</c:v>
                </c:pt>
                <c:pt idx="963">
                  <c:v>525.7001953</c:v>
                </c:pt>
                <c:pt idx="964">
                  <c:v>526.2460938</c:v>
                </c:pt>
                <c:pt idx="965">
                  <c:v>526.7919922</c:v>
                </c:pt>
                <c:pt idx="966">
                  <c:v>527.3378906</c:v>
                </c:pt>
                <c:pt idx="967">
                  <c:v>527.8837891</c:v>
                </c:pt>
                <c:pt idx="968">
                  <c:v>528.4296875</c:v>
                </c:pt>
                <c:pt idx="969">
                  <c:v>528.9755859</c:v>
                </c:pt>
                <c:pt idx="970">
                  <c:v>529.5214844</c:v>
                </c:pt>
                <c:pt idx="971">
                  <c:v>530.0673828</c:v>
                </c:pt>
                <c:pt idx="972">
                  <c:v>530.6132813</c:v>
                </c:pt>
                <c:pt idx="973">
                  <c:v>531.1591797</c:v>
                </c:pt>
                <c:pt idx="974">
                  <c:v>531.7050781</c:v>
                </c:pt>
                <c:pt idx="975">
                  <c:v>532.2509766</c:v>
                </c:pt>
                <c:pt idx="976">
                  <c:v>532.796875</c:v>
                </c:pt>
                <c:pt idx="977">
                  <c:v>533.3427734</c:v>
                </c:pt>
                <c:pt idx="978">
                  <c:v>533.8886719</c:v>
                </c:pt>
                <c:pt idx="979">
                  <c:v>534.4345703</c:v>
                </c:pt>
                <c:pt idx="980">
                  <c:v>534.9804688</c:v>
                </c:pt>
                <c:pt idx="981">
                  <c:v>535.5263672</c:v>
                </c:pt>
                <c:pt idx="982">
                  <c:v>536.0722656</c:v>
                </c:pt>
                <c:pt idx="983">
                  <c:v>536.6181641</c:v>
                </c:pt>
                <c:pt idx="984">
                  <c:v>537.1640625</c:v>
                </c:pt>
                <c:pt idx="985">
                  <c:v>537.7099609</c:v>
                </c:pt>
                <c:pt idx="986">
                  <c:v>538.2558594</c:v>
                </c:pt>
                <c:pt idx="987">
                  <c:v>538.8017578</c:v>
                </c:pt>
                <c:pt idx="988">
                  <c:v>539.3476563</c:v>
                </c:pt>
                <c:pt idx="989">
                  <c:v>539.8935547</c:v>
                </c:pt>
                <c:pt idx="990">
                  <c:v>540.4394531</c:v>
                </c:pt>
                <c:pt idx="991">
                  <c:v>540.9853516</c:v>
                </c:pt>
                <c:pt idx="992">
                  <c:v>541.53125</c:v>
                </c:pt>
                <c:pt idx="993">
                  <c:v>542.0771484</c:v>
                </c:pt>
                <c:pt idx="994">
                  <c:v>542.6230469</c:v>
                </c:pt>
                <c:pt idx="995">
                  <c:v>543.1689453</c:v>
                </c:pt>
                <c:pt idx="996">
                  <c:v>543.7148438</c:v>
                </c:pt>
                <c:pt idx="997">
                  <c:v>544.2607422</c:v>
                </c:pt>
                <c:pt idx="998">
                  <c:v>544.8066406</c:v>
                </c:pt>
                <c:pt idx="999">
                  <c:v>545.3525391</c:v>
                </c:pt>
                <c:pt idx="1000">
                  <c:v>545.8984375</c:v>
                </c:pt>
                <c:pt idx="1001">
                  <c:v>546.4443359</c:v>
                </c:pt>
                <c:pt idx="1002">
                  <c:v>546.9902344</c:v>
                </c:pt>
                <c:pt idx="1003">
                  <c:v>547.5361328</c:v>
                </c:pt>
                <c:pt idx="1004">
                  <c:v>548.0820313</c:v>
                </c:pt>
                <c:pt idx="1005">
                  <c:v>548.6279297</c:v>
                </c:pt>
                <c:pt idx="1006">
                  <c:v>549.1738281</c:v>
                </c:pt>
                <c:pt idx="1007">
                  <c:v>549.7197266</c:v>
                </c:pt>
                <c:pt idx="1008">
                  <c:v>550.265625</c:v>
                </c:pt>
                <c:pt idx="1009">
                  <c:v>550.8115234</c:v>
                </c:pt>
                <c:pt idx="1010">
                  <c:v>551.3574219</c:v>
                </c:pt>
                <c:pt idx="1011">
                  <c:v>551.9033203</c:v>
                </c:pt>
                <c:pt idx="1012">
                  <c:v>552.4492188</c:v>
                </c:pt>
                <c:pt idx="1013">
                  <c:v>552.9951172</c:v>
                </c:pt>
                <c:pt idx="1014">
                  <c:v>553.5410156</c:v>
                </c:pt>
                <c:pt idx="1015">
                  <c:v>554.0869141</c:v>
                </c:pt>
                <c:pt idx="1016">
                  <c:v>554.6328125</c:v>
                </c:pt>
                <c:pt idx="1017">
                  <c:v>555.1787109</c:v>
                </c:pt>
                <c:pt idx="1018">
                  <c:v>555.7246094</c:v>
                </c:pt>
                <c:pt idx="1019">
                  <c:v>556.2705078</c:v>
                </c:pt>
                <c:pt idx="1020">
                  <c:v>556.8164063</c:v>
                </c:pt>
                <c:pt idx="1021">
                  <c:v>557.3623047</c:v>
                </c:pt>
                <c:pt idx="1022">
                  <c:v>557.9082031</c:v>
                </c:pt>
                <c:pt idx="1023">
                  <c:v>558.4541016</c:v>
                </c:pt>
                <c:pt idx="1024">
                  <c:v>Diğer</c:v>
                </c:pt>
              </c:strCache>
            </c:strRef>
          </c:cat>
          <c:val>
            <c:numRef>
              <c:f>'Histogram Analizi'!$C$2:$C$1026</c:f>
              <c:numCache>
                <c:formatCode>0.00%</c:formatCode>
                <c:ptCount val="1025"/>
                <c:pt idx="0">
                  <c:v>1.358695652173913E-3</c:v>
                </c:pt>
                <c:pt idx="1">
                  <c:v>1.358695652173913E-3</c:v>
                </c:pt>
                <c:pt idx="2">
                  <c:v>8.152173913043478E-3</c:v>
                </c:pt>
                <c:pt idx="3">
                  <c:v>8.152173913043478E-3</c:v>
                </c:pt>
                <c:pt idx="4">
                  <c:v>1.2228260869565218E-2</c:v>
                </c:pt>
                <c:pt idx="5">
                  <c:v>1.2228260869565218E-2</c:v>
                </c:pt>
                <c:pt idx="6">
                  <c:v>2.4456521739130436E-2</c:v>
                </c:pt>
                <c:pt idx="7">
                  <c:v>2.4456521739130436E-2</c:v>
                </c:pt>
                <c:pt idx="8">
                  <c:v>3.125E-2</c:v>
                </c:pt>
                <c:pt idx="9">
                  <c:v>3.125E-2</c:v>
                </c:pt>
                <c:pt idx="10">
                  <c:v>3.6684782608695655E-2</c:v>
                </c:pt>
                <c:pt idx="11">
                  <c:v>4.4836956521739128E-2</c:v>
                </c:pt>
                <c:pt idx="12">
                  <c:v>4.4836956521739128E-2</c:v>
                </c:pt>
                <c:pt idx="13">
                  <c:v>5.434782608695652E-2</c:v>
                </c:pt>
                <c:pt idx="14">
                  <c:v>5.434782608695652E-2</c:v>
                </c:pt>
                <c:pt idx="15">
                  <c:v>6.25E-2</c:v>
                </c:pt>
                <c:pt idx="16">
                  <c:v>6.25E-2</c:v>
                </c:pt>
                <c:pt idx="17">
                  <c:v>6.7934782608695649E-2</c:v>
                </c:pt>
                <c:pt idx="18">
                  <c:v>6.7934782608695649E-2</c:v>
                </c:pt>
                <c:pt idx="19">
                  <c:v>7.4728260869565216E-2</c:v>
                </c:pt>
                <c:pt idx="20">
                  <c:v>7.4728260869565216E-2</c:v>
                </c:pt>
                <c:pt idx="21">
                  <c:v>8.1521739130434784E-2</c:v>
                </c:pt>
                <c:pt idx="22">
                  <c:v>8.6956521739130432E-2</c:v>
                </c:pt>
                <c:pt idx="23">
                  <c:v>8.6956521739130432E-2</c:v>
                </c:pt>
                <c:pt idx="24">
                  <c:v>9.6467391304347824E-2</c:v>
                </c:pt>
                <c:pt idx="25">
                  <c:v>9.6467391304347824E-2</c:v>
                </c:pt>
                <c:pt idx="26">
                  <c:v>0.10461956521739131</c:v>
                </c:pt>
                <c:pt idx="27">
                  <c:v>0.10461956521739131</c:v>
                </c:pt>
                <c:pt idx="28">
                  <c:v>0.10869565217391304</c:v>
                </c:pt>
                <c:pt idx="29">
                  <c:v>0.10869565217391304</c:v>
                </c:pt>
                <c:pt idx="30">
                  <c:v>0.11684782608695653</c:v>
                </c:pt>
                <c:pt idx="31">
                  <c:v>0.11684782608695653</c:v>
                </c:pt>
                <c:pt idx="32">
                  <c:v>0.125</c:v>
                </c:pt>
                <c:pt idx="33">
                  <c:v>0.13043478260869565</c:v>
                </c:pt>
                <c:pt idx="34">
                  <c:v>0.13043478260869565</c:v>
                </c:pt>
                <c:pt idx="35">
                  <c:v>0.13858695652173914</c:v>
                </c:pt>
                <c:pt idx="36">
                  <c:v>0.13858695652173914</c:v>
                </c:pt>
                <c:pt idx="37">
                  <c:v>0.14673913043478262</c:v>
                </c:pt>
                <c:pt idx="38">
                  <c:v>0.14673913043478262</c:v>
                </c:pt>
                <c:pt idx="39">
                  <c:v>0.15489130434782608</c:v>
                </c:pt>
                <c:pt idx="40">
                  <c:v>0.15489130434782608</c:v>
                </c:pt>
                <c:pt idx="41">
                  <c:v>0.16304347826086957</c:v>
                </c:pt>
                <c:pt idx="42">
                  <c:v>0.16304347826086957</c:v>
                </c:pt>
                <c:pt idx="43">
                  <c:v>0.17527173913043478</c:v>
                </c:pt>
                <c:pt idx="44">
                  <c:v>0.19021739130434784</c:v>
                </c:pt>
                <c:pt idx="45">
                  <c:v>0.19021739130434784</c:v>
                </c:pt>
                <c:pt idx="46">
                  <c:v>0.1983695652173913</c:v>
                </c:pt>
                <c:pt idx="47">
                  <c:v>0.1983695652173913</c:v>
                </c:pt>
                <c:pt idx="48">
                  <c:v>0.2078804347826087</c:v>
                </c:pt>
                <c:pt idx="49">
                  <c:v>0.2078804347826087</c:v>
                </c:pt>
                <c:pt idx="50">
                  <c:v>0.21467391304347827</c:v>
                </c:pt>
                <c:pt idx="51">
                  <c:v>0.21467391304347827</c:v>
                </c:pt>
                <c:pt idx="52">
                  <c:v>0.22146739130434784</c:v>
                </c:pt>
                <c:pt idx="53">
                  <c:v>0.22146739130434784</c:v>
                </c:pt>
                <c:pt idx="54">
                  <c:v>0.22554347826086957</c:v>
                </c:pt>
                <c:pt idx="55">
                  <c:v>0.23641304347826086</c:v>
                </c:pt>
                <c:pt idx="56">
                  <c:v>0.23641304347826086</c:v>
                </c:pt>
                <c:pt idx="57">
                  <c:v>0.2391304347826087</c:v>
                </c:pt>
                <c:pt idx="58">
                  <c:v>0.2391304347826087</c:v>
                </c:pt>
                <c:pt idx="59">
                  <c:v>0.24456521739130435</c:v>
                </c:pt>
                <c:pt idx="60">
                  <c:v>0.24456521739130435</c:v>
                </c:pt>
                <c:pt idx="61">
                  <c:v>0.25135869565217389</c:v>
                </c:pt>
                <c:pt idx="62">
                  <c:v>0.25135869565217389</c:v>
                </c:pt>
                <c:pt idx="63">
                  <c:v>0.25815217391304346</c:v>
                </c:pt>
                <c:pt idx="64">
                  <c:v>0.25815217391304346</c:v>
                </c:pt>
                <c:pt idx="65">
                  <c:v>0.26494565217391303</c:v>
                </c:pt>
                <c:pt idx="66">
                  <c:v>0.26902173913043476</c:v>
                </c:pt>
                <c:pt idx="67">
                  <c:v>0.26902173913043476</c:v>
                </c:pt>
                <c:pt idx="68">
                  <c:v>0.27989130434782611</c:v>
                </c:pt>
                <c:pt idx="69">
                  <c:v>0.27989130434782611</c:v>
                </c:pt>
                <c:pt idx="70">
                  <c:v>0.28396739130434784</c:v>
                </c:pt>
                <c:pt idx="71">
                  <c:v>0.28396739130434784</c:v>
                </c:pt>
                <c:pt idx="72">
                  <c:v>0.28804347826086957</c:v>
                </c:pt>
                <c:pt idx="73">
                  <c:v>0.28804347826086957</c:v>
                </c:pt>
                <c:pt idx="74">
                  <c:v>0.29483695652173914</c:v>
                </c:pt>
                <c:pt idx="75">
                  <c:v>0.29483695652173914</c:v>
                </c:pt>
                <c:pt idx="76">
                  <c:v>0.29619565217391303</c:v>
                </c:pt>
                <c:pt idx="77">
                  <c:v>0.30978260869565216</c:v>
                </c:pt>
                <c:pt idx="78">
                  <c:v>0.30978260869565216</c:v>
                </c:pt>
                <c:pt idx="79">
                  <c:v>0.31929347826086957</c:v>
                </c:pt>
                <c:pt idx="80">
                  <c:v>0.31929347826086957</c:v>
                </c:pt>
                <c:pt idx="81">
                  <c:v>0.32201086956521741</c:v>
                </c:pt>
                <c:pt idx="82">
                  <c:v>0.32201086956521741</c:v>
                </c:pt>
                <c:pt idx="83">
                  <c:v>0.32880434782608697</c:v>
                </c:pt>
                <c:pt idx="84">
                  <c:v>0.32880434782608697</c:v>
                </c:pt>
                <c:pt idx="85">
                  <c:v>0.33423913043478259</c:v>
                </c:pt>
                <c:pt idx="86">
                  <c:v>0.33423913043478259</c:v>
                </c:pt>
                <c:pt idx="87">
                  <c:v>0.33967391304347827</c:v>
                </c:pt>
                <c:pt idx="88">
                  <c:v>0.34646739130434784</c:v>
                </c:pt>
                <c:pt idx="89">
                  <c:v>0.34646739130434784</c:v>
                </c:pt>
                <c:pt idx="90">
                  <c:v>0.35326086956521741</c:v>
                </c:pt>
                <c:pt idx="91">
                  <c:v>0.35326086956521741</c:v>
                </c:pt>
                <c:pt idx="92">
                  <c:v>0.35733695652173914</c:v>
                </c:pt>
                <c:pt idx="93">
                  <c:v>0.35733695652173914</c:v>
                </c:pt>
                <c:pt idx="94">
                  <c:v>0.36277173913043476</c:v>
                </c:pt>
                <c:pt idx="95">
                  <c:v>0.36277173913043476</c:v>
                </c:pt>
                <c:pt idx="96">
                  <c:v>0.36684782608695654</c:v>
                </c:pt>
                <c:pt idx="97">
                  <c:v>0.36684782608695654</c:v>
                </c:pt>
                <c:pt idx="98">
                  <c:v>0.36956521739130432</c:v>
                </c:pt>
                <c:pt idx="99">
                  <c:v>0.37907608695652173</c:v>
                </c:pt>
                <c:pt idx="100">
                  <c:v>0.37907608695652173</c:v>
                </c:pt>
                <c:pt idx="101">
                  <c:v>0.38451086956521741</c:v>
                </c:pt>
                <c:pt idx="102">
                  <c:v>0.38451086956521741</c:v>
                </c:pt>
                <c:pt idx="103">
                  <c:v>0.38722826086956524</c:v>
                </c:pt>
                <c:pt idx="104">
                  <c:v>0.38722826086956524</c:v>
                </c:pt>
                <c:pt idx="105">
                  <c:v>0.38994565217391303</c:v>
                </c:pt>
                <c:pt idx="106">
                  <c:v>0.38994565217391303</c:v>
                </c:pt>
                <c:pt idx="107">
                  <c:v>0.3953804347826087</c:v>
                </c:pt>
                <c:pt idx="108">
                  <c:v>0.3953804347826087</c:v>
                </c:pt>
                <c:pt idx="109">
                  <c:v>0.39945652173913043</c:v>
                </c:pt>
                <c:pt idx="110">
                  <c:v>0.40081521739130432</c:v>
                </c:pt>
                <c:pt idx="111">
                  <c:v>0.40081521739130432</c:v>
                </c:pt>
                <c:pt idx="112">
                  <c:v>0.40489130434782611</c:v>
                </c:pt>
                <c:pt idx="113">
                  <c:v>0.40489130434782611</c:v>
                </c:pt>
                <c:pt idx="114">
                  <c:v>0.4171195652173913</c:v>
                </c:pt>
                <c:pt idx="115">
                  <c:v>0.4171195652173913</c:v>
                </c:pt>
                <c:pt idx="116">
                  <c:v>0.42255434782608697</c:v>
                </c:pt>
                <c:pt idx="117">
                  <c:v>0.42255434782608697</c:v>
                </c:pt>
                <c:pt idx="118">
                  <c:v>0.42391304347826086</c:v>
                </c:pt>
                <c:pt idx="119">
                  <c:v>0.42391304347826086</c:v>
                </c:pt>
                <c:pt idx="120">
                  <c:v>0.42934782608695654</c:v>
                </c:pt>
                <c:pt idx="121">
                  <c:v>0.43342391304347827</c:v>
                </c:pt>
                <c:pt idx="122">
                  <c:v>0.43342391304347827</c:v>
                </c:pt>
                <c:pt idx="123">
                  <c:v>0.44021739130434784</c:v>
                </c:pt>
                <c:pt idx="124">
                  <c:v>0.44021739130434784</c:v>
                </c:pt>
                <c:pt idx="125">
                  <c:v>0.44429347826086957</c:v>
                </c:pt>
                <c:pt idx="126">
                  <c:v>0.44429347826086957</c:v>
                </c:pt>
                <c:pt idx="127">
                  <c:v>0.44701086956521741</c:v>
                </c:pt>
                <c:pt idx="128">
                  <c:v>0.44701086956521741</c:v>
                </c:pt>
                <c:pt idx="129">
                  <c:v>0.45516304347826086</c:v>
                </c:pt>
                <c:pt idx="130">
                  <c:v>0.45516304347826086</c:v>
                </c:pt>
                <c:pt idx="131">
                  <c:v>0.45923913043478259</c:v>
                </c:pt>
                <c:pt idx="132">
                  <c:v>0.46059782608695654</c:v>
                </c:pt>
                <c:pt idx="133">
                  <c:v>0.46059782608695654</c:v>
                </c:pt>
                <c:pt idx="134">
                  <c:v>0.46467391304347827</c:v>
                </c:pt>
                <c:pt idx="135">
                  <c:v>0.46467391304347827</c:v>
                </c:pt>
                <c:pt idx="136">
                  <c:v>0.46467391304347827</c:v>
                </c:pt>
                <c:pt idx="137">
                  <c:v>0.46467391304347827</c:v>
                </c:pt>
                <c:pt idx="138">
                  <c:v>0.46603260869565216</c:v>
                </c:pt>
                <c:pt idx="139">
                  <c:v>0.46603260869565216</c:v>
                </c:pt>
                <c:pt idx="140">
                  <c:v>0.47282608695652173</c:v>
                </c:pt>
                <c:pt idx="141">
                  <c:v>0.47282608695652173</c:v>
                </c:pt>
                <c:pt idx="142">
                  <c:v>0.47690217391304346</c:v>
                </c:pt>
                <c:pt idx="143">
                  <c:v>0.48097826086956524</c:v>
                </c:pt>
                <c:pt idx="144">
                  <c:v>0.48097826086956524</c:v>
                </c:pt>
                <c:pt idx="145">
                  <c:v>0.48233695652173914</c:v>
                </c:pt>
                <c:pt idx="146">
                  <c:v>0.48233695652173914</c:v>
                </c:pt>
                <c:pt idx="147">
                  <c:v>0.48641304347826086</c:v>
                </c:pt>
                <c:pt idx="148">
                  <c:v>0.48641304347826086</c:v>
                </c:pt>
                <c:pt idx="149">
                  <c:v>0.49864130434782611</c:v>
                </c:pt>
                <c:pt idx="150">
                  <c:v>0.49864130434782611</c:v>
                </c:pt>
                <c:pt idx="151">
                  <c:v>0.5</c:v>
                </c:pt>
                <c:pt idx="152">
                  <c:v>0.5</c:v>
                </c:pt>
                <c:pt idx="153">
                  <c:v>0.50271739130434778</c:v>
                </c:pt>
                <c:pt idx="154">
                  <c:v>0.51086956521739135</c:v>
                </c:pt>
                <c:pt idx="155">
                  <c:v>0.51086956521739135</c:v>
                </c:pt>
                <c:pt idx="156">
                  <c:v>0.51494565217391308</c:v>
                </c:pt>
                <c:pt idx="157">
                  <c:v>0.51494565217391308</c:v>
                </c:pt>
                <c:pt idx="158">
                  <c:v>0.51766304347826086</c:v>
                </c:pt>
                <c:pt idx="159">
                  <c:v>0.51766304347826086</c:v>
                </c:pt>
                <c:pt idx="160">
                  <c:v>0.52173913043478259</c:v>
                </c:pt>
                <c:pt idx="161">
                  <c:v>0.52173913043478259</c:v>
                </c:pt>
                <c:pt idx="162">
                  <c:v>0.52309782608695654</c:v>
                </c:pt>
                <c:pt idx="163">
                  <c:v>0.52309782608695654</c:v>
                </c:pt>
                <c:pt idx="164">
                  <c:v>0.52853260869565222</c:v>
                </c:pt>
                <c:pt idx="165">
                  <c:v>0.53125</c:v>
                </c:pt>
                <c:pt idx="166">
                  <c:v>0.53125</c:v>
                </c:pt>
                <c:pt idx="167">
                  <c:v>0.53260869565217395</c:v>
                </c:pt>
                <c:pt idx="168">
                  <c:v>0.53260869565217395</c:v>
                </c:pt>
                <c:pt idx="169">
                  <c:v>0.53260869565217395</c:v>
                </c:pt>
                <c:pt idx="170">
                  <c:v>0.53260869565217395</c:v>
                </c:pt>
                <c:pt idx="171">
                  <c:v>0.53668478260869568</c:v>
                </c:pt>
                <c:pt idx="172">
                  <c:v>0.53668478260869568</c:v>
                </c:pt>
                <c:pt idx="173">
                  <c:v>0.53940217391304346</c:v>
                </c:pt>
                <c:pt idx="174">
                  <c:v>0.53940217391304346</c:v>
                </c:pt>
                <c:pt idx="175">
                  <c:v>0.54347826086956519</c:v>
                </c:pt>
                <c:pt idx="176">
                  <c:v>0.54483695652173914</c:v>
                </c:pt>
                <c:pt idx="177">
                  <c:v>0.54483695652173914</c:v>
                </c:pt>
                <c:pt idx="178">
                  <c:v>0.54619565217391308</c:v>
                </c:pt>
                <c:pt idx="179">
                  <c:v>0.54619565217391308</c:v>
                </c:pt>
                <c:pt idx="180">
                  <c:v>0.55027173913043481</c:v>
                </c:pt>
                <c:pt idx="181">
                  <c:v>0.55027173913043481</c:v>
                </c:pt>
                <c:pt idx="182">
                  <c:v>0.55163043478260865</c:v>
                </c:pt>
                <c:pt idx="183">
                  <c:v>0.55163043478260865</c:v>
                </c:pt>
                <c:pt idx="184">
                  <c:v>0.55298913043478259</c:v>
                </c:pt>
                <c:pt idx="185">
                  <c:v>0.55298913043478259</c:v>
                </c:pt>
                <c:pt idx="186">
                  <c:v>0.55842391304347827</c:v>
                </c:pt>
                <c:pt idx="187">
                  <c:v>0.55978260869565222</c:v>
                </c:pt>
                <c:pt idx="188">
                  <c:v>0.55978260869565222</c:v>
                </c:pt>
                <c:pt idx="189">
                  <c:v>0.5625</c:v>
                </c:pt>
                <c:pt idx="190">
                  <c:v>0.5625</c:v>
                </c:pt>
                <c:pt idx="191">
                  <c:v>0.56521739130434778</c:v>
                </c:pt>
                <c:pt idx="192">
                  <c:v>0.56521739130434778</c:v>
                </c:pt>
                <c:pt idx="193">
                  <c:v>0.56793478260869568</c:v>
                </c:pt>
                <c:pt idx="194">
                  <c:v>0.56793478260869568</c:v>
                </c:pt>
                <c:pt idx="195">
                  <c:v>0.57336956521739135</c:v>
                </c:pt>
                <c:pt idx="196">
                  <c:v>0.57336956521739135</c:v>
                </c:pt>
                <c:pt idx="197">
                  <c:v>0.57608695652173914</c:v>
                </c:pt>
                <c:pt idx="198">
                  <c:v>0.58152173913043481</c:v>
                </c:pt>
                <c:pt idx="199">
                  <c:v>0.58152173913043481</c:v>
                </c:pt>
                <c:pt idx="200">
                  <c:v>0.58423913043478259</c:v>
                </c:pt>
                <c:pt idx="201">
                  <c:v>0.58423913043478259</c:v>
                </c:pt>
                <c:pt idx="202">
                  <c:v>0.58831521739130432</c:v>
                </c:pt>
                <c:pt idx="203">
                  <c:v>0.58831521739130432</c:v>
                </c:pt>
                <c:pt idx="204">
                  <c:v>0.59782608695652173</c:v>
                </c:pt>
                <c:pt idx="205">
                  <c:v>0.59782608695652173</c:v>
                </c:pt>
                <c:pt idx="206">
                  <c:v>0.59918478260869568</c:v>
                </c:pt>
                <c:pt idx="207">
                  <c:v>0.60597826086956519</c:v>
                </c:pt>
                <c:pt idx="208">
                  <c:v>0.60597826086956519</c:v>
                </c:pt>
                <c:pt idx="209">
                  <c:v>0.60733695652173914</c:v>
                </c:pt>
                <c:pt idx="210">
                  <c:v>0.60733695652173914</c:v>
                </c:pt>
                <c:pt idx="211">
                  <c:v>0.60733695652173914</c:v>
                </c:pt>
                <c:pt idx="212">
                  <c:v>0.60733695652173914</c:v>
                </c:pt>
                <c:pt idx="213">
                  <c:v>0.60869565217391308</c:v>
                </c:pt>
                <c:pt idx="214">
                  <c:v>0.60869565217391308</c:v>
                </c:pt>
                <c:pt idx="215">
                  <c:v>0.60869565217391308</c:v>
                </c:pt>
                <c:pt idx="216">
                  <c:v>0.60869565217391308</c:v>
                </c:pt>
                <c:pt idx="217">
                  <c:v>0.61005434782608692</c:v>
                </c:pt>
                <c:pt idx="218">
                  <c:v>0.61413043478260865</c:v>
                </c:pt>
                <c:pt idx="219">
                  <c:v>0.61413043478260865</c:v>
                </c:pt>
                <c:pt idx="220">
                  <c:v>0.61548913043478259</c:v>
                </c:pt>
                <c:pt idx="221">
                  <c:v>0.61548913043478259</c:v>
                </c:pt>
                <c:pt idx="222">
                  <c:v>0.61956521739130432</c:v>
                </c:pt>
                <c:pt idx="223">
                  <c:v>0.61956521739130432</c:v>
                </c:pt>
                <c:pt idx="224">
                  <c:v>0.61956521739130432</c:v>
                </c:pt>
                <c:pt idx="225">
                  <c:v>0.61956521739130432</c:v>
                </c:pt>
                <c:pt idx="226">
                  <c:v>0.62092391304347827</c:v>
                </c:pt>
                <c:pt idx="227">
                  <c:v>0.62092391304347827</c:v>
                </c:pt>
                <c:pt idx="228">
                  <c:v>0.62228260869565222</c:v>
                </c:pt>
                <c:pt idx="229">
                  <c:v>0.62364130434782605</c:v>
                </c:pt>
                <c:pt idx="230">
                  <c:v>0.62364130434782605</c:v>
                </c:pt>
                <c:pt idx="231">
                  <c:v>0.62771739130434778</c:v>
                </c:pt>
                <c:pt idx="232">
                  <c:v>0.62771739130434778</c:v>
                </c:pt>
                <c:pt idx="233">
                  <c:v>0.62907608695652173</c:v>
                </c:pt>
                <c:pt idx="234">
                  <c:v>0.62907608695652173</c:v>
                </c:pt>
                <c:pt idx="235">
                  <c:v>0.62907608695652173</c:v>
                </c:pt>
                <c:pt idx="236">
                  <c:v>0.62907608695652173</c:v>
                </c:pt>
                <c:pt idx="237">
                  <c:v>0.63315217391304346</c:v>
                </c:pt>
                <c:pt idx="238">
                  <c:v>0.63315217391304346</c:v>
                </c:pt>
                <c:pt idx="239">
                  <c:v>0.63586956521739135</c:v>
                </c:pt>
                <c:pt idx="240">
                  <c:v>0.63858695652173914</c:v>
                </c:pt>
                <c:pt idx="241">
                  <c:v>0.63858695652173914</c:v>
                </c:pt>
                <c:pt idx="242">
                  <c:v>0.63994565217391308</c:v>
                </c:pt>
                <c:pt idx="243">
                  <c:v>0.63994565217391308</c:v>
                </c:pt>
                <c:pt idx="244">
                  <c:v>0.63994565217391308</c:v>
                </c:pt>
                <c:pt idx="245">
                  <c:v>0.63994565217391308</c:v>
                </c:pt>
                <c:pt idx="246">
                  <c:v>0.64809782608695654</c:v>
                </c:pt>
                <c:pt idx="247">
                  <c:v>0.64809782608695654</c:v>
                </c:pt>
                <c:pt idx="248">
                  <c:v>0.64809782608695654</c:v>
                </c:pt>
                <c:pt idx="249">
                  <c:v>0.64809782608695654</c:v>
                </c:pt>
                <c:pt idx="250">
                  <c:v>0.65217391304347827</c:v>
                </c:pt>
                <c:pt idx="251">
                  <c:v>0.65489130434782605</c:v>
                </c:pt>
                <c:pt idx="252">
                  <c:v>0.65489130434782605</c:v>
                </c:pt>
                <c:pt idx="253">
                  <c:v>0.65760869565217395</c:v>
                </c:pt>
                <c:pt idx="254">
                  <c:v>0.65760869565217395</c:v>
                </c:pt>
                <c:pt idx="255">
                  <c:v>0.66168478260869568</c:v>
                </c:pt>
                <c:pt idx="256">
                  <c:v>0.66168478260869568</c:v>
                </c:pt>
                <c:pt idx="257">
                  <c:v>0.66440217391304346</c:v>
                </c:pt>
                <c:pt idx="258">
                  <c:v>0.66440217391304346</c:v>
                </c:pt>
                <c:pt idx="259">
                  <c:v>0.66440217391304346</c:v>
                </c:pt>
                <c:pt idx="260">
                  <c:v>0.66440217391304346</c:v>
                </c:pt>
                <c:pt idx="261">
                  <c:v>0.66983695652173914</c:v>
                </c:pt>
                <c:pt idx="262">
                  <c:v>0.67255434782608692</c:v>
                </c:pt>
                <c:pt idx="263">
                  <c:v>0.67255434782608692</c:v>
                </c:pt>
                <c:pt idx="264">
                  <c:v>0.67798913043478259</c:v>
                </c:pt>
                <c:pt idx="265">
                  <c:v>0.67798913043478259</c:v>
                </c:pt>
                <c:pt idx="266">
                  <c:v>0.67934782608695654</c:v>
                </c:pt>
                <c:pt idx="267">
                  <c:v>0.67934782608695654</c:v>
                </c:pt>
                <c:pt idx="268">
                  <c:v>0.68206521739130432</c:v>
                </c:pt>
                <c:pt idx="269">
                  <c:v>0.68206521739130432</c:v>
                </c:pt>
                <c:pt idx="270">
                  <c:v>0.68885869565217395</c:v>
                </c:pt>
                <c:pt idx="271">
                  <c:v>0.68885869565217395</c:v>
                </c:pt>
                <c:pt idx="272">
                  <c:v>0.69157608695652173</c:v>
                </c:pt>
                <c:pt idx="273">
                  <c:v>0.69429347826086951</c:v>
                </c:pt>
                <c:pt idx="274">
                  <c:v>0.69429347826086951</c:v>
                </c:pt>
                <c:pt idx="275">
                  <c:v>0.69565217391304346</c:v>
                </c:pt>
                <c:pt idx="276">
                  <c:v>0.69565217391304346</c:v>
                </c:pt>
                <c:pt idx="277">
                  <c:v>0.69565217391304346</c:v>
                </c:pt>
                <c:pt idx="278">
                  <c:v>0.69565217391304346</c:v>
                </c:pt>
                <c:pt idx="279">
                  <c:v>0.70108695652173914</c:v>
                </c:pt>
                <c:pt idx="280">
                  <c:v>0.70108695652173914</c:v>
                </c:pt>
                <c:pt idx="281">
                  <c:v>0.70108695652173914</c:v>
                </c:pt>
                <c:pt idx="282">
                  <c:v>0.70108695652173914</c:v>
                </c:pt>
                <c:pt idx="283">
                  <c:v>0.70380434782608692</c:v>
                </c:pt>
                <c:pt idx="284">
                  <c:v>0.70652173913043481</c:v>
                </c:pt>
                <c:pt idx="285">
                  <c:v>0.70652173913043481</c:v>
                </c:pt>
                <c:pt idx="286">
                  <c:v>0.70788043478260865</c:v>
                </c:pt>
                <c:pt idx="287">
                  <c:v>0.70788043478260865</c:v>
                </c:pt>
                <c:pt idx="288">
                  <c:v>0.71195652173913049</c:v>
                </c:pt>
                <c:pt idx="289">
                  <c:v>0.71195652173913049</c:v>
                </c:pt>
                <c:pt idx="290">
                  <c:v>0.71195652173913049</c:v>
                </c:pt>
                <c:pt idx="291">
                  <c:v>0.71195652173913049</c:v>
                </c:pt>
                <c:pt idx="292">
                  <c:v>0.71331521739130432</c:v>
                </c:pt>
                <c:pt idx="293">
                  <c:v>0.71331521739130432</c:v>
                </c:pt>
                <c:pt idx="294">
                  <c:v>0.71331521739130432</c:v>
                </c:pt>
                <c:pt idx="295">
                  <c:v>0.71603260869565222</c:v>
                </c:pt>
                <c:pt idx="296">
                  <c:v>0.71603260869565222</c:v>
                </c:pt>
                <c:pt idx="297">
                  <c:v>0.72010869565217395</c:v>
                </c:pt>
                <c:pt idx="298">
                  <c:v>0.72010869565217395</c:v>
                </c:pt>
                <c:pt idx="299">
                  <c:v>0.72418478260869568</c:v>
                </c:pt>
                <c:pt idx="300">
                  <c:v>0.72418478260869568</c:v>
                </c:pt>
                <c:pt idx="301">
                  <c:v>0.73233695652173914</c:v>
                </c:pt>
                <c:pt idx="302">
                  <c:v>0.73233695652173914</c:v>
                </c:pt>
                <c:pt idx="303">
                  <c:v>0.73777173913043481</c:v>
                </c:pt>
                <c:pt idx="304">
                  <c:v>0.73777173913043481</c:v>
                </c:pt>
                <c:pt idx="305">
                  <c:v>0.73913043478260865</c:v>
                </c:pt>
                <c:pt idx="306">
                  <c:v>0.74048913043478259</c:v>
                </c:pt>
                <c:pt idx="307">
                  <c:v>0.74048913043478259</c:v>
                </c:pt>
                <c:pt idx="308">
                  <c:v>0.74184782608695654</c:v>
                </c:pt>
                <c:pt idx="309">
                  <c:v>0.74184782608695654</c:v>
                </c:pt>
                <c:pt idx="310">
                  <c:v>0.74184782608695654</c:v>
                </c:pt>
                <c:pt idx="311">
                  <c:v>0.74184782608695654</c:v>
                </c:pt>
                <c:pt idx="312">
                  <c:v>0.74320652173913049</c:v>
                </c:pt>
                <c:pt idx="313">
                  <c:v>0.74320652173913049</c:v>
                </c:pt>
                <c:pt idx="314">
                  <c:v>0.74456521739130432</c:v>
                </c:pt>
                <c:pt idx="315">
                  <c:v>0.74456521739130432</c:v>
                </c:pt>
                <c:pt idx="316">
                  <c:v>0.75</c:v>
                </c:pt>
                <c:pt idx="317">
                  <c:v>0.75271739130434778</c:v>
                </c:pt>
                <c:pt idx="318">
                  <c:v>0.75271739130434778</c:v>
                </c:pt>
                <c:pt idx="319">
                  <c:v>0.75679347826086951</c:v>
                </c:pt>
                <c:pt idx="320">
                  <c:v>0.75679347826086951</c:v>
                </c:pt>
                <c:pt idx="321">
                  <c:v>0.75679347826086951</c:v>
                </c:pt>
                <c:pt idx="322">
                  <c:v>0.75679347826086951</c:v>
                </c:pt>
                <c:pt idx="323">
                  <c:v>0.75951086956521741</c:v>
                </c:pt>
                <c:pt idx="324">
                  <c:v>0.75951086956521741</c:v>
                </c:pt>
                <c:pt idx="325">
                  <c:v>0.76086956521739135</c:v>
                </c:pt>
                <c:pt idx="326">
                  <c:v>0.76086956521739135</c:v>
                </c:pt>
                <c:pt idx="327">
                  <c:v>0.76222826086956519</c:v>
                </c:pt>
                <c:pt idx="328">
                  <c:v>0.76494565217391308</c:v>
                </c:pt>
                <c:pt idx="329">
                  <c:v>0.76494565217391308</c:v>
                </c:pt>
                <c:pt idx="330">
                  <c:v>0.76902173913043481</c:v>
                </c:pt>
                <c:pt idx="331">
                  <c:v>0.76902173913043481</c:v>
                </c:pt>
                <c:pt idx="332">
                  <c:v>0.77173913043478259</c:v>
                </c:pt>
                <c:pt idx="333">
                  <c:v>0.77173913043478259</c:v>
                </c:pt>
                <c:pt idx="334">
                  <c:v>0.77309782608695654</c:v>
                </c:pt>
                <c:pt idx="335">
                  <c:v>0.77309782608695654</c:v>
                </c:pt>
                <c:pt idx="336">
                  <c:v>0.77309782608695654</c:v>
                </c:pt>
                <c:pt idx="337">
                  <c:v>0.77309782608695654</c:v>
                </c:pt>
                <c:pt idx="338">
                  <c:v>0.77581521739130432</c:v>
                </c:pt>
                <c:pt idx="339">
                  <c:v>0.77989130434782605</c:v>
                </c:pt>
                <c:pt idx="340">
                  <c:v>0.77989130434782605</c:v>
                </c:pt>
                <c:pt idx="341">
                  <c:v>0.78260869565217395</c:v>
                </c:pt>
                <c:pt idx="342">
                  <c:v>0.78260869565217395</c:v>
                </c:pt>
                <c:pt idx="343">
                  <c:v>0.78668478260869568</c:v>
                </c:pt>
                <c:pt idx="344">
                  <c:v>0.78668478260869568</c:v>
                </c:pt>
                <c:pt idx="345">
                  <c:v>0.78804347826086951</c:v>
                </c:pt>
                <c:pt idx="346">
                  <c:v>0.78804347826086951</c:v>
                </c:pt>
                <c:pt idx="347">
                  <c:v>0.79076086956521741</c:v>
                </c:pt>
                <c:pt idx="348">
                  <c:v>0.79076086956521741</c:v>
                </c:pt>
                <c:pt idx="349">
                  <c:v>0.79076086956521741</c:v>
                </c:pt>
                <c:pt idx="350">
                  <c:v>0.79347826086956519</c:v>
                </c:pt>
                <c:pt idx="351">
                  <c:v>0.79347826086956519</c:v>
                </c:pt>
                <c:pt idx="352">
                  <c:v>0.79483695652173914</c:v>
                </c:pt>
                <c:pt idx="353">
                  <c:v>0.79483695652173914</c:v>
                </c:pt>
                <c:pt idx="354">
                  <c:v>0.79619565217391308</c:v>
                </c:pt>
                <c:pt idx="355">
                  <c:v>0.79619565217391308</c:v>
                </c:pt>
                <c:pt idx="356">
                  <c:v>0.79619565217391308</c:v>
                </c:pt>
                <c:pt idx="357">
                  <c:v>0.79619565217391308</c:v>
                </c:pt>
                <c:pt idx="358">
                  <c:v>0.79619565217391308</c:v>
                </c:pt>
                <c:pt idx="359">
                  <c:v>0.79619565217391308</c:v>
                </c:pt>
                <c:pt idx="360">
                  <c:v>0.79755434782608692</c:v>
                </c:pt>
                <c:pt idx="361">
                  <c:v>0.80027173913043481</c:v>
                </c:pt>
                <c:pt idx="362">
                  <c:v>0.80027173913043481</c:v>
                </c:pt>
                <c:pt idx="363">
                  <c:v>0.80298913043478259</c:v>
                </c:pt>
                <c:pt idx="364">
                  <c:v>0.80298913043478259</c:v>
                </c:pt>
                <c:pt idx="365">
                  <c:v>0.80434782608695654</c:v>
                </c:pt>
                <c:pt idx="366">
                  <c:v>0.80434782608695654</c:v>
                </c:pt>
                <c:pt idx="367">
                  <c:v>0.80570652173913049</c:v>
                </c:pt>
                <c:pt idx="368">
                  <c:v>0.80570652173913049</c:v>
                </c:pt>
                <c:pt idx="369">
                  <c:v>0.80842391304347827</c:v>
                </c:pt>
                <c:pt idx="370">
                  <c:v>0.80842391304347827</c:v>
                </c:pt>
                <c:pt idx="371">
                  <c:v>0.80978260869565222</c:v>
                </c:pt>
                <c:pt idx="372">
                  <c:v>0.8125</c:v>
                </c:pt>
                <c:pt idx="373">
                  <c:v>0.8125</c:v>
                </c:pt>
                <c:pt idx="374">
                  <c:v>0.81385869565217395</c:v>
                </c:pt>
                <c:pt idx="375">
                  <c:v>0.81385869565217395</c:v>
                </c:pt>
                <c:pt idx="376">
                  <c:v>0.81521739130434778</c:v>
                </c:pt>
                <c:pt idx="377">
                  <c:v>0.81521739130434778</c:v>
                </c:pt>
                <c:pt idx="378">
                  <c:v>0.81521739130434778</c:v>
                </c:pt>
                <c:pt idx="379">
                  <c:v>0.81521739130434778</c:v>
                </c:pt>
                <c:pt idx="380">
                  <c:v>0.81521739130434778</c:v>
                </c:pt>
                <c:pt idx="381">
                  <c:v>0.81521739130434778</c:v>
                </c:pt>
                <c:pt idx="382">
                  <c:v>0.81521739130434778</c:v>
                </c:pt>
                <c:pt idx="383">
                  <c:v>0.81521739130434778</c:v>
                </c:pt>
                <c:pt idx="384">
                  <c:v>0.81521739130434778</c:v>
                </c:pt>
                <c:pt idx="385">
                  <c:v>0.81657608695652173</c:v>
                </c:pt>
                <c:pt idx="386">
                  <c:v>0.81657608695652173</c:v>
                </c:pt>
                <c:pt idx="387">
                  <c:v>0.81793478260869568</c:v>
                </c:pt>
                <c:pt idx="388">
                  <c:v>0.81793478260869568</c:v>
                </c:pt>
                <c:pt idx="389">
                  <c:v>0.81793478260869568</c:v>
                </c:pt>
                <c:pt idx="390">
                  <c:v>0.81793478260869568</c:v>
                </c:pt>
                <c:pt idx="391">
                  <c:v>0.81793478260869568</c:v>
                </c:pt>
                <c:pt idx="392">
                  <c:v>0.81793478260869568</c:v>
                </c:pt>
                <c:pt idx="393">
                  <c:v>0.81793478260869568</c:v>
                </c:pt>
                <c:pt idx="394">
                  <c:v>0.81929347826086951</c:v>
                </c:pt>
                <c:pt idx="395">
                  <c:v>0.81929347826086951</c:v>
                </c:pt>
                <c:pt idx="396">
                  <c:v>0.82065217391304346</c:v>
                </c:pt>
                <c:pt idx="397">
                  <c:v>0.82065217391304346</c:v>
                </c:pt>
                <c:pt idx="398">
                  <c:v>0.82065217391304346</c:v>
                </c:pt>
                <c:pt idx="399">
                  <c:v>0.82065217391304346</c:v>
                </c:pt>
                <c:pt idx="400">
                  <c:v>0.82201086956521741</c:v>
                </c:pt>
                <c:pt idx="401">
                  <c:v>0.82201086956521741</c:v>
                </c:pt>
                <c:pt idx="402">
                  <c:v>0.82336956521739135</c:v>
                </c:pt>
                <c:pt idx="403">
                  <c:v>0.82336956521739135</c:v>
                </c:pt>
                <c:pt idx="404">
                  <c:v>0.82336956521739135</c:v>
                </c:pt>
                <c:pt idx="405">
                  <c:v>0.82608695652173914</c:v>
                </c:pt>
                <c:pt idx="406">
                  <c:v>0.82608695652173914</c:v>
                </c:pt>
                <c:pt idx="407">
                  <c:v>0.83288043478260865</c:v>
                </c:pt>
                <c:pt idx="408">
                  <c:v>0.83288043478260865</c:v>
                </c:pt>
                <c:pt idx="409">
                  <c:v>0.83423913043478259</c:v>
                </c:pt>
                <c:pt idx="410">
                  <c:v>0.83423913043478259</c:v>
                </c:pt>
                <c:pt idx="411">
                  <c:v>0.83423913043478259</c:v>
                </c:pt>
                <c:pt idx="412">
                  <c:v>0.83423913043478259</c:v>
                </c:pt>
                <c:pt idx="413">
                  <c:v>0.83423913043478259</c:v>
                </c:pt>
                <c:pt idx="414">
                  <c:v>0.83559782608695654</c:v>
                </c:pt>
                <c:pt idx="415">
                  <c:v>0.83559782608695654</c:v>
                </c:pt>
                <c:pt idx="416">
                  <c:v>0.83695652173913049</c:v>
                </c:pt>
                <c:pt idx="417">
                  <c:v>0.83695652173913049</c:v>
                </c:pt>
                <c:pt idx="418">
                  <c:v>0.83831521739130432</c:v>
                </c:pt>
                <c:pt idx="419">
                  <c:v>0.83831521739130432</c:v>
                </c:pt>
                <c:pt idx="420">
                  <c:v>0.83967391304347827</c:v>
                </c:pt>
                <c:pt idx="421">
                  <c:v>0.83967391304347827</c:v>
                </c:pt>
                <c:pt idx="422">
                  <c:v>0.84103260869565222</c:v>
                </c:pt>
                <c:pt idx="423">
                  <c:v>0.84103260869565222</c:v>
                </c:pt>
                <c:pt idx="424">
                  <c:v>0.84375</c:v>
                </c:pt>
                <c:pt idx="425">
                  <c:v>0.84510869565217395</c:v>
                </c:pt>
                <c:pt idx="426">
                  <c:v>0.84510869565217395</c:v>
                </c:pt>
                <c:pt idx="427">
                  <c:v>0.84646739130434778</c:v>
                </c:pt>
                <c:pt idx="428">
                  <c:v>0.84646739130434778</c:v>
                </c:pt>
                <c:pt idx="429">
                  <c:v>0.84646739130434778</c:v>
                </c:pt>
                <c:pt idx="430">
                  <c:v>0.84646739130434778</c:v>
                </c:pt>
                <c:pt idx="431">
                  <c:v>0.84646739130434778</c:v>
                </c:pt>
                <c:pt idx="432">
                  <c:v>0.84646739130434778</c:v>
                </c:pt>
                <c:pt idx="433">
                  <c:v>0.84782608695652173</c:v>
                </c:pt>
                <c:pt idx="434">
                  <c:v>0.84782608695652173</c:v>
                </c:pt>
                <c:pt idx="435">
                  <c:v>0.84918478260869568</c:v>
                </c:pt>
                <c:pt idx="436">
                  <c:v>0.84918478260869568</c:v>
                </c:pt>
                <c:pt idx="437">
                  <c:v>0.84918478260869568</c:v>
                </c:pt>
                <c:pt idx="438">
                  <c:v>0.84918478260869568</c:v>
                </c:pt>
                <c:pt idx="439">
                  <c:v>0.84918478260869568</c:v>
                </c:pt>
                <c:pt idx="440">
                  <c:v>0.84918478260869568</c:v>
                </c:pt>
                <c:pt idx="441">
                  <c:v>0.84918478260869568</c:v>
                </c:pt>
                <c:pt idx="442">
                  <c:v>0.85054347826086951</c:v>
                </c:pt>
                <c:pt idx="443">
                  <c:v>0.85054347826086951</c:v>
                </c:pt>
                <c:pt idx="444">
                  <c:v>0.85054347826086951</c:v>
                </c:pt>
                <c:pt idx="445">
                  <c:v>0.85054347826086951</c:v>
                </c:pt>
                <c:pt idx="446">
                  <c:v>0.85326086956521741</c:v>
                </c:pt>
                <c:pt idx="447">
                  <c:v>0.85461956521739135</c:v>
                </c:pt>
                <c:pt idx="448">
                  <c:v>0.85461956521739135</c:v>
                </c:pt>
                <c:pt idx="449">
                  <c:v>0.85597826086956519</c:v>
                </c:pt>
                <c:pt idx="450">
                  <c:v>0.85597826086956519</c:v>
                </c:pt>
                <c:pt idx="451">
                  <c:v>0.85869565217391308</c:v>
                </c:pt>
                <c:pt idx="452">
                  <c:v>0.85869565217391308</c:v>
                </c:pt>
                <c:pt idx="453">
                  <c:v>0.86141304347826086</c:v>
                </c:pt>
                <c:pt idx="454">
                  <c:v>0.86141304347826086</c:v>
                </c:pt>
                <c:pt idx="455">
                  <c:v>0.86413043478260865</c:v>
                </c:pt>
                <c:pt idx="456">
                  <c:v>0.86413043478260865</c:v>
                </c:pt>
                <c:pt idx="457">
                  <c:v>0.86548913043478259</c:v>
                </c:pt>
                <c:pt idx="458">
                  <c:v>0.86548913043478259</c:v>
                </c:pt>
                <c:pt idx="459">
                  <c:v>0.86548913043478259</c:v>
                </c:pt>
                <c:pt idx="460">
                  <c:v>0.86548913043478259</c:v>
                </c:pt>
                <c:pt idx="461">
                  <c:v>0.86548913043478259</c:v>
                </c:pt>
                <c:pt idx="462">
                  <c:v>0.86548913043478259</c:v>
                </c:pt>
                <c:pt idx="463">
                  <c:v>0.86548913043478259</c:v>
                </c:pt>
                <c:pt idx="464">
                  <c:v>0.86684782608695654</c:v>
                </c:pt>
                <c:pt idx="465">
                  <c:v>0.86684782608695654</c:v>
                </c:pt>
                <c:pt idx="466">
                  <c:v>0.86684782608695654</c:v>
                </c:pt>
                <c:pt idx="467">
                  <c:v>0.86684782608695654</c:v>
                </c:pt>
                <c:pt idx="468">
                  <c:v>0.86684782608695654</c:v>
                </c:pt>
                <c:pt idx="469">
                  <c:v>0.86956521739130432</c:v>
                </c:pt>
                <c:pt idx="470">
                  <c:v>0.86956521739130432</c:v>
                </c:pt>
                <c:pt idx="471">
                  <c:v>0.86956521739130432</c:v>
                </c:pt>
                <c:pt idx="472">
                  <c:v>0.86956521739130432</c:v>
                </c:pt>
                <c:pt idx="473">
                  <c:v>0.86956521739130432</c:v>
                </c:pt>
                <c:pt idx="474">
                  <c:v>0.86956521739130432</c:v>
                </c:pt>
                <c:pt idx="475">
                  <c:v>0.87092391304347827</c:v>
                </c:pt>
                <c:pt idx="476">
                  <c:v>0.87092391304347827</c:v>
                </c:pt>
                <c:pt idx="477">
                  <c:v>0.87228260869565222</c:v>
                </c:pt>
                <c:pt idx="478">
                  <c:v>0.87228260869565222</c:v>
                </c:pt>
                <c:pt idx="479">
                  <c:v>0.87364130434782605</c:v>
                </c:pt>
                <c:pt idx="480">
                  <c:v>0.875</c:v>
                </c:pt>
                <c:pt idx="481">
                  <c:v>0.875</c:v>
                </c:pt>
                <c:pt idx="482">
                  <c:v>0.875</c:v>
                </c:pt>
                <c:pt idx="483">
                  <c:v>0.875</c:v>
                </c:pt>
                <c:pt idx="484">
                  <c:v>0.87771739130434778</c:v>
                </c:pt>
                <c:pt idx="485">
                  <c:v>0.87771739130434778</c:v>
                </c:pt>
                <c:pt idx="486">
                  <c:v>0.87771739130434778</c:v>
                </c:pt>
                <c:pt idx="487">
                  <c:v>0.87771739130434778</c:v>
                </c:pt>
                <c:pt idx="488">
                  <c:v>0.87771739130434778</c:v>
                </c:pt>
                <c:pt idx="489">
                  <c:v>0.87771739130434778</c:v>
                </c:pt>
                <c:pt idx="490">
                  <c:v>0.87771739130434778</c:v>
                </c:pt>
                <c:pt idx="491">
                  <c:v>0.88179347826086951</c:v>
                </c:pt>
                <c:pt idx="492">
                  <c:v>0.88179347826086951</c:v>
                </c:pt>
                <c:pt idx="493">
                  <c:v>0.88179347826086951</c:v>
                </c:pt>
                <c:pt idx="494">
                  <c:v>0.88179347826086951</c:v>
                </c:pt>
                <c:pt idx="495">
                  <c:v>0.88451086956521741</c:v>
                </c:pt>
                <c:pt idx="496">
                  <c:v>0.88451086956521741</c:v>
                </c:pt>
                <c:pt idx="497">
                  <c:v>0.88858695652173914</c:v>
                </c:pt>
                <c:pt idx="498">
                  <c:v>0.88858695652173914</c:v>
                </c:pt>
                <c:pt idx="499">
                  <c:v>0.88994565217391308</c:v>
                </c:pt>
                <c:pt idx="500">
                  <c:v>0.88994565217391308</c:v>
                </c:pt>
                <c:pt idx="501">
                  <c:v>0.88994565217391308</c:v>
                </c:pt>
                <c:pt idx="502">
                  <c:v>0.88994565217391308</c:v>
                </c:pt>
                <c:pt idx="503">
                  <c:v>0.88994565217391308</c:v>
                </c:pt>
                <c:pt idx="504">
                  <c:v>0.88994565217391308</c:v>
                </c:pt>
                <c:pt idx="505">
                  <c:v>0.88994565217391308</c:v>
                </c:pt>
                <c:pt idx="506">
                  <c:v>0.89130434782608692</c:v>
                </c:pt>
                <c:pt idx="507">
                  <c:v>0.89130434782608692</c:v>
                </c:pt>
                <c:pt idx="508">
                  <c:v>0.89130434782608692</c:v>
                </c:pt>
                <c:pt idx="509">
                  <c:v>0.89130434782608692</c:v>
                </c:pt>
                <c:pt idx="510">
                  <c:v>0.89266304347826086</c:v>
                </c:pt>
                <c:pt idx="511">
                  <c:v>0.89266304347826086</c:v>
                </c:pt>
                <c:pt idx="512">
                  <c:v>0.89402173913043481</c:v>
                </c:pt>
                <c:pt idx="513">
                  <c:v>0.89402173913043481</c:v>
                </c:pt>
                <c:pt idx="514">
                  <c:v>0.89402173913043481</c:v>
                </c:pt>
                <c:pt idx="515">
                  <c:v>0.89673913043478259</c:v>
                </c:pt>
                <c:pt idx="516">
                  <c:v>0.89673913043478259</c:v>
                </c:pt>
                <c:pt idx="517">
                  <c:v>0.89809782608695654</c:v>
                </c:pt>
                <c:pt idx="518">
                  <c:v>0.89809782608695654</c:v>
                </c:pt>
                <c:pt idx="519">
                  <c:v>0.89945652173913049</c:v>
                </c:pt>
                <c:pt idx="520">
                  <c:v>0.89945652173913049</c:v>
                </c:pt>
                <c:pt idx="521">
                  <c:v>0.90081521739130432</c:v>
                </c:pt>
                <c:pt idx="522">
                  <c:v>0.90081521739130432</c:v>
                </c:pt>
                <c:pt idx="523">
                  <c:v>0.90217391304347827</c:v>
                </c:pt>
                <c:pt idx="524">
                  <c:v>0.90217391304347827</c:v>
                </c:pt>
                <c:pt idx="525">
                  <c:v>0.90217391304347827</c:v>
                </c:pt>
                <c:pt idx="526">
                  <c:v>0.90353260869565222</c:v>
                </c:pt>
                <c:pt idx="527">
                  <c:v>0.90353260869565222</c:v>
                </c:pt>
                <c:pt idx="528">
                  <c:v>0.90625</c:v>
                </c:pt>
                <c:pt idx="529">
                  <c:v>0.90625</c:v>
                </c:pt>
                <c:pt idx="530">
                  <c:v>0.90760869565217395</c:v>
                </c:pt>
                <c:pt idx="531">
                  <c:v>0.90760869565217395</c:v>
                </c:pt>
                <c:pt idx="532">
                  <c:v>0.91032608695652173</c:v>
                </c:pt>
                <c:pt idx="533">
                  <c:v>0.91032608695652173</c:v>
                </c:pt>
                <c:pt idx="534">
                  <c:v>0.91032608695652173</c:v>
                </c:pt>
                <c:pt idx="535">
                  <c:v>0.91032608695652173</c:v>
                </c:pt>
                <c:pt idx="536">
                  <c:v>0.91032608695652173</c:v>
                </c:pt>
                <c:pt idx="537">
                  <c:v>0.91032608695652173</c:v>
                </c:pt>
                <c:pt idx="538">
                  <c:v>0.91032608695652173</c:v>
                </c:pt>
                <c:pt idx="539">
                  <c:v>0.91032608695652173</c:v>
                </c:pt>
                <c:pt idx="540">
                  <c:v>0.91032608695652173</c:v>
                </c:pt>
                <c:pt idx="541">
                  <c:v>0.91168478260869568</c:v>
                </c:pt>
                <c:pt idx="542">
                  <c:v>0.91168478260869568</c:v>
                </c:pt>
                <c:pt idx="543">
                  <c:v>0.91304347826086951</c:v>
                </c:pt>
                <c:pt idx="544">
                  <c:v>0.91304347826086951</c:v>
                </c:pt>
                <c:pt idx="545">
                  <c:v>0.91304347826086951</c:v>
                </c:pt>
                <c:pt idx="546">
                  <c:v>0.91304347826086951</c:v>
                </c:pt>
                <c:pt idx="547">
                  <c:v>0.91304347826086951</c:v>
                </c:pt>
                <c:pt idx="548">
                  <c:v>0.91576086956521741</c:v>
                </c:pt>
                <c:pt idx="549">
                  <c:v>0.91576086956521741</c:v>
                </c:pt>
                <c:pt idx="550">
                  <c:v>0.91711956521739135</c:v>
                </c:pt>
                <c:pt idx="551">
                  <c:v>0.91711956521739135</c:v>
                </c:pt>
                <c:pt idx="552">
                  <c:v>0.91847826086956519</c:v>
                </c:pt>
                <c:pt idx="553">
                  <c:v>0.91847826086956519</c:v>
                </c:pt>
                <c:pt idx="554">
                  <c:v>0.91983695652173914</c:v>
                </c:pt>
                <c:pt idx="555">
                  <c:v>0.91983695652173914</c:v>
                </c:pt>
                <c:pt idx="556">
                  <c:v>0.92255434782608692</c:v>
                </c:pt>
                <c:pt idx="557">
                  <c:v>0.92255434782608692</c:v>
                </c:pt>
                <c:pt idx="558">
                  <c:v>0.92255434782608692</c:v>
                </c:pt>
                <c:pt idx="559">
                  <c:v>0.92527173913043481</c:v>
                </c:pt>
                <c:pt idx="560">
                  <c:v>0.92527173913043481</c:v>
                </c:pt>
                <c:pt idx="561">
                  <c:v>0.92527173913043481</c:v>
                </c:pt>
                <c:pt idx="562">
                  <c:v>0.92527173913043481</c:v>
                </c:pt>
                <c:pt idx="563">
                  <c:v>0.92527173913043481</c:v>
                </c:pt>
                <c:pt idx="564">
                  <c:v>0.92527173913043481</c:v>
                </c:pt>
                <c:pt idx="565">
                  <c:v>0.92663043478260865</c:v>
                </c:pt>
                <c:pt idx="566">
                  <c:v>0.92663043478260865</c:v>
                </c:pt>
                <c:pt idx="567">
                  <c:v>0.92663043478260865</c:v>
                </c:pt>
                <c:pt idx="568">
                  <c:v>0.92798913043478259</c:v>
                </c:pt>
                <c:pt idx="569">
                  <c:v>0.92798913043478259</c:v>
                </c:pt>
                <c:pt idx="570">
                  <c:v>0.92798913043478259</c:v>
                </c:pt>
                <c:pt idx="571">
                  <c:v>0.92798913043478259</c:v>
                </c:pt>
                <c:pt idx="572">
                  <c:v>0.92798913043478259</c:v>
                </c:pt>
                <c:pt idx="573">
                  <c:v>0.92798913043478259</c:v>
                </c:pt>
                <c:pt idx="574">
                  <c:v>0.92798913043478259</c:v>
                </c:pt>
                <c:pt idx="575">
                  <c:v>0.92798913043478259</c:v>
                </c:pt>
                <c:pt idx="576">
                  <c:v>0.92798913043478259</c:v>
                </c:pt>
                <c:pt idx="577">
                  <c:v>0.92798913043478259</c:v>
                </c:pt>
                <c:pt idx="578">
                  <c:v>0.92798913043478259</c:v>
                </c:pt>
                <c:pt idx="579">
                  <c:v>0.92798913043478259</c:v>
                </c:pt>
                <c:pt idx="580">
                  <c:v>0.92798913043478259</c:v>
                </c:pt>
                <c:pt idx="581">
                  <c:v>0.92798913043478259</c:v>
                </c:pt>
                <c:pt idx="582">
                  <c:v>0.92798913043478259</c:v>
                </c:pt>
                <c:pt idx="583">
                  <c:v>0.92934782608695654</c:v>
                </c:pt>
                <c:pt idx="584">
                  <c:v>0.92934782608695654</c:v>
                </c:pt>
                <c:pt idx="585">
                  <c:v>0.93070652173913049</c:v>
                </c:pt>
                <c:pt idx="586">
                  <c:v>0.93070652173913049</c:v>
                </c:pt>
                <c:pt idx="587">
                  <c:v>0.93070652173913049</c:v>
                </c:pt>
                <c:pt idx="588">
                  <c:v>0.93070652173913049</c:v>
                </c:pt>
                <c:pt idx="589">
                  <c:v>0.93070652173913049</c:v>
                </c:pt>
                <c:pt idx="590">
                  <c:v>0.93070652173913049</c:v>
                </c:pt>
                <c:pt idx="591">
                  <c:v>0.93070652173913049</c:v>
                </c:pt>
                <c:pt idx="592">
                  <c:v>0.93206521739130432</c:v>
                </c:pt>
                <c:pt idx="593">
                  <c:v>0.93206521739130432</c:v>
                </c:pt>
                <c:pt idx="594">
                  <c:v>0.93342391304347827</c:v>
                </c:pt>
                <c:pt idx="595">
                  <c:v>0.93342391304347827</c:v>
                </c:pt>
                <c:pt idx="596">
                  <c:v>0.93342391304347827</c:v>
                </c:pt>
                <c:pt idx="597">
                  <c:v>0.93342391304347827</c:v>
                </c:pt>
                <c:pt idx="598">
                  <c:v>0.93342391304347827</c:v>
                </c:pt>
                <c:pt idx="599">
                  <c:v>0.93342391304347827</c:v>
                </c:pt>
                <c:pt idx="600">
                  <c:v>0.93342391304347827</c:v>
                </c:pt>
                <c:pt idx="601">
                  <c:v>0.93478260869565222</c:v>
                </c:pt>
                <c:pt idx="602">
                  <c:v>0.93478260869565222</c:v>
                </c:pt>
                <c:pt idx="603">
                  <c:v>0.93478260869565222</c:v>
                </c:pt>
                <c:pt idx="604">
                  <c:v>0.93478260869565222</c:v>
                </c:pt>
                <c:pt idx="605">
                  <c:v>0.93478260869565222</c:v>
                </c:pt>
                <c:pt idx="606">
                  <c:v>0.93478260869565222</c:v>
                </c:pt>
                <c:pt idx="607">
                  <c:v>0.9375</c:v>
                </c:pt>
                <c:pt idx="608">
                  <c:v>0.9375</c:v>
                </c:pt>
                <c:pt idx="609">
                  <c:v>0.93885869565217395</c:v>
                </c:pt>
                <c:pt idx="610">
                  <c:v>0.93885869565217395</c:v>
                </c:pt>
                <c:pt idx="611">
                  <c:v>0.93885869565217395</c:v>
                </c:pt>
                <c:pt idx="612">
                  <c:v>0.93885869565217395</c:v>
                </c:pt>
                <c:pt idx="613">
                  <c:v>0.93885869565217395</c:v>
                </c:pt>
                <c:pt idx="614">
                  <c:v>0.93885869565217395</c:v>
                </c:pt>
                <c:pt idx="615">
                  <c:v>0.93885869565217395</c:v>
                </c:pt>
                <c:pt idx="616">
                  <c:v>0.94021739130434778</c:v>
                </c:pt>
                <c:pt idx="617">
                  <c:v>0.94021739130434778</c:v>
                </c:pt>
                <c:pt idx="618">
                  <c:v>0.94157608695652173</c:v>
                </c:pt>
                <c:pt idx="619">
                  <c:v>0.94157608695652173</c:v>
                </c:pt>
                <c:pt idx="620">
                  <c:v>0.94157608695652173</c:v>
                </c:pt>
                <c:pt idx="621">
                  <c:v>0.94293478260869568</c:v>
                </c:pt>
                <c:pt idx="622">
                  <c:v>0.94293478260869568</c:v>
                </c:pt>
                <c:pt idx="623">
                  <c:v>0.94293478260869568</c:v>
                </c:pt>
                <c:pt idx="624">
                  <c:v>0.94293478260869568</c:v>
                </c:pt>
                <c:pt idx="625">
                  <c:v>0.94565217391304346</c:v>
                </c:pt>
                <c:pt idx="626">
                  <c:v>0.94565217391304346</c:v>
                </c:pt>
                <c:pt idx="627">
                  <c:v>0.94701086956521741</c:v>
                </c:pt>
                <c:pt idx="628">
                  <c:v>0.94701086956521741</c:v>
                </c:pt>
                <c:pt idx="629">
                  <c:v>0.94701086956521741</c:v>
                </c:pt>
                <c:pt idx="630">
                  <c:v>0.94701086956521741</c:v>
                </c:pt>
                <c:pt idx="631">
                  <c:v>0.94701086956521741</c:v>
                </c:pt>
                <c:pt idx="632">
                  <c:v>0.94836956521739135</c:v>
                </c:pt>
                <c:pt idx="633">
                  <c:v>0.94836956521739135</c:v>
                </c:pt>
                <c:pt idx="634">
                  <c:v>0.94836956521739135</c:v>
                </c:pt>
                <c:pt idx="635">
                  <c:v>0.94836956521739135</c:v>
                </c:pt>
                <c:pt idx="636">
                  <c:v>0.94836956521739135</c:v>
                </c:pt>
                <c:pt idx="637">
                  <c:v>0.94836956521739135</c:v>
                </c:pt>
                <c:pt idx="638">
                  <c:v>0.94836956521739135</c:v>
                </c:pt>
                <c:pt idx="639">
                  <c:v>0.94836956521739135</c:v>
                </c:pt>
                <c:pt idx="640">
                  <c:v>0.94972826086956519</c:v>
                </c:pt>
                <c:pt idx="641">
                  <c:v>0.94972826086956519</c:v>
                </c:pt>
                <c:pt idx="642">
                  <c:v>0.94972826086956519</c:v>
                </c:pt>
                <c:pt idx="643">
                  <c:v>0.95244565217391308</c:v>
                </c:pt>
                <c:pt idx="644">
                  <c:v>0.95244565217391308</c:v>
                </c:pt>
                <c:pt idx="645">
                  <c:v>0.95244565217391308</c:v>
                </c:pt>
                <c:pt idx="646">
                  <c:v>0.95244565217391308</c:v>
                </c:pt>
                <c:pt idx="647">
                  <c:v>0.95244565217391308</c:v>
                </c:pt>
                <c:pt idx="648">
                  <c:v>0.95244565217391308</c:v>
                </c:pt>
                <c:pt idx="649">
                  <c:v>0.95380434782608692</c:v>
                </c:pt>
                <c:pt idx="650">
                  <c:v>0.95380434782608692</c:v>
                </c:pt>
                <c:pt idx="651">
                  <c:v>0.95516304347826086</c:v>
                </c:pt>
                <c:pt idx="652">
                  <c:v>0.95516304347826086</c:v>
                </c:pt>
                <c:pt idx="653">
                  <c:v>0.95516304347826086</c:v>
                </c:pt>
                <c:pt idx="654">
                  <c:v>0.95516304347826086</c:v>
                </c:pt>
                <c:pt idx="655">
                  <c:v>0.95516304347826086</c:v>
                </c:pt>
                <c:pt idx="656">
                  <c:v>0.95516304347826086</c:v>
                </c:pt>
                <c:pt idx="657">
                  <c:v>0.95516304347826086</c:v>
                </c:pt>
                <c:pt idx="658">
                  <c:v>0.95652173913043481</c:v>
                </c:pt>
                <c:pt idx="659">
                  <c:v>0.95652173913043481</c:v>
                </c:pt>
                <c:pt idx="660">
                  <c:v>0.95652173913043481</c:v>
                </c:pt>
                <c:pt idx="661">
                  <c:v>0.95652173913043481</c:v>
                </c:pt>
                <c:pt idx="662">
                  <c:v>0.95923913043478259</c:v>
                </c:pt>
                <c:pt idx="663">
                  <c:v>0.95923913043478259</c:v>
                </c:pt>
                <c:pt idx="664">
                  <c:v>0.95923913043478259</c:v>
                </c:pt>
                <c:pt idx="665">
                  <c:v>0.95923913043478259</c:v>
                </c:pt>
                <c:pt idx="666">
                  <c:v>0.95923913043478259</c:v>
                </c:pt>
                <c:pt idx="667">
                  <c:v>0.95923913043478259</c:v>
                </c:pt>
                <c:pt idx="668">
                  <c:v>0.95923913043478259</c:v>
                </c:pt>
                <c:pt idx="669">
                  <c:v>0.95923913043478259</c:v>
                </c:pt>
                <c:pt idx="670">
                  <c:v>0.95923913043478259</c:v>
                </c:pt>
                <c:pt idx="671">
                  <c:v>0.95923913043478259</c:v>
                </c:pt>
                <c:pt idx="672">
                  <c:v>0.95923913043478259</c:v>
                </c:pt>
                <c:pt idx="673">
                  <c:v>0.96059782608695654</c:v>
                </c:pt>
                <c:pt idx="674">
                  <c:v>0.96059782608695654</c:v>
                </c:pt>
                <c:pt idx="675">
                  <c:v>0.96059782608695654</c:v>
                </c:pt>
                <c:pt idx="676">
                  <c:v>0.96059782608695654</c:v>
                </c:pt>
                <c:pt idx="677">
                  <c:v>0.96059782608695654</c:v>
                </c:pt>
                <c:pt idx="678">
                  <c:v>0.96059782608695654</c:v>
                </c:pt>
                <c:pt idx="679">
                  <c:v>0.96059782608695654</c:v>
                </c:pt>
                <c:pt idx="680">
                  <c:v>0.96059782608695654</c:v>
                </c:pt>
                <c:pt idx="681">
                  <c:v>0.96059782608695654</c:v>
                </c:pt>
                <c:pt idx="682">
                  <c:v>0.96059782608695654</c:v>
                </c:pt>
                <c:pt idx="683">
                  <c:v>0.96059782608695654</c:v>
                </c:pt>
                <c:pt idx="684">
                  <c:v>0.96059782608695654</c:v>
                </c:pt>
                <c:pt idx="685">
                  <c:v>0.96059782608695654</c:v>
                </c:pt>
                <c:pt idx="686">
                  <c:v>0.96195652173913049</c:v>
                </c:pt>
                <c:pt idx="687">
                  <c:v>0.96195652173913049</c:v>
                </c:pt>
                <c:pt idx="688">
                  <c:v>0.96195652173913049</c:v>
                </c:pt>
                <c:pt idx="689">
                  <c:v>0.96331521739130432</c:v>
                </c:pt>
                <c:pt idx="690">
                  <c:v>0.96331521739130432</c:v>
                </c:pt>
                <c:pt idx="691">
                  <c:v>0.96331521739130432</c:v>
                </c:pt>
                <c:pt idx="692">
                  <c:v>0.96331521739130432</c:v>
                </c:pt>
                <c:pt idx="693">
                  <c:v>0.96467391304347827</c:v>
                </c:pt>
                <c:pt idx="694">
                  <c:v>0.96467391304347827</c:v>
                </c:pt>
                <c:pt idx="695">
                  <c:v>0.96467391304347827</c:v>
                </c:pt>
                <c:pt idx="696">
                  <c:v>0.96467391304347827</c:v>
                </c:pt>
                <c:pt idx="697">
                  <c:v>0.96467391304347827</c:v>
                </c:pt>
                <c:pt idx="698">
                  <c:v>0.96467391304347827</c:v>
                </c:pt>
                <c:pt idx="699">
                  <c:v>0.96467391304347827</c:v>
                </c:pt>
                <c:pt idx="700">
                  <c:v>0.96467391304347827</c:v>
                </c:pt>
                <c:pt idx="701">
                  <c:v>0.96467391304347827</c:v>
                </c:pt>
                <c:pt idx="702">
                  <c:v>0.96467391304347827</c:v>
                </c:pt>
                <c:pt idx="703">
                  <c:v>0.96467391304347827</c:v>
                </c:pt>
                <c:pt idx="704">
                  <c:v>0.96467391304347827</c:v>
                </c:pt>
                <c:pt idx="705">
                  <c:v>0.96467391304347827</c:v>
                </c:pt>
                <c:pt idx="706">
                  <c:v>0.96467391304347827</c:v>
                </c:pt>
                <c:pt idx="707">
                  <c:v>0.96467391304347827</c:v>
                </c:pt>
                <c:pt idx="708">
                  <c:v>0.96467391304347827</c:v>
                </c:pt>
                <c:pt idx="709">
                  <c:v>0.96603260869565222</c:v>
                </c:pt>
                <c:pt idx="710">
                  <c:v>0.96603260869565222</c:v>
                </c:pt>
                <c:pt idx="711">
                  <c:v>0.96603260869565222</c:v>
                </c:pt>
                <c:pt idx="712">
                  <c:v>0.96603260869565222</c:v>
                </c:pt>
                <c:pt idx="713">
                  <c:v>0.96603260869565222</c:v>
                </c:pt>
                <c:pt idx="714">
                  <c:v>0.96603260869565222</c:v>
                </c:pt>
                <c:pt idx="715">
                  <c:v>0.96603260869565222</c:v>
                </c:pt>
                <c:pt idx="716">
                  <c:v>0.96603260869565222</c:v>
                </c:pt>
                <c:pt idx="717">
                  <c:v>0.96603260869565222</c:v>
                </c:pt>
                <c:pt idx="718">
                  <c:v>0.96603260869565222</c:v>
                </c:pt>
                <c:pt idx="719">
                  <c:v>0.96603260869565222</c:v>
                </c:pt>
                <c:pt idx="720">
                  <c:v>0.96603260869565222</c:v>
                </c:pt>
                <c:pt idx="721">
                  <c:v>0.96603260869565222</c:v>
                </c:pt>
                <c:pt idx="722">
                  <c:v>0.96603260869565222</c:v>
                </c:pt>
                <c:pt idx="723">
                  <c:v>0.96603260869565222</c:v>
                </c:pt>
                <c:pt idx="724">
                  <c:v>0.96603260869565222</c:v>
                </c:pt>
                <c:pt idx="725">
                  <c:v>0.96603260869565222</c:v>
                </c:pt>
                <c:pt idx="726">
                  <c:v>0.96603260869565222</c:v>
                </c:pt>
                <c:pt idx="727">
                  <c:v>0.96603260869565222</c:v>
                </c:pt>
                <c:pt idx="728">
                  <c:v>0.96739130434782605</c:v>
                </c:pt>
                <c:pt idx="729">
                  <c:v>0.96739130434782605</c:v>
                </c:pt>
                <c:pt idx="730">
                  <c:v>0.96875</c:v>
                </c:pt>
                <c:pt idx="731">
                  <c:v>0.96875</c:v>
                </c:pt>
                <c:pt idx="732">
                  <c:v>0.96875</c:v>
                </c:pt>
                <c:pt idx="733">
                  <c:v>0.96875</c:v>
                </c:pt>
                <c:pt idx="734">
                  <c:v>0.96875</c:v>
                </c:pt>
                <c:pt idx="735">
                  <c:v>0.96875</c:v>
                </c:pt>
                <c:pt idx="736">
                  <c:v>0.96875</c:v>
                </c:pt>
                <c:pt idx="737">
                  <c:v>0.97010869565217395</c:v>
                </c:pt>
                <c:pt idx="738">
                  <c:v>0.97010869565217395</c:v>
                </c:pt>
                <c:pt idx="739">
                  <c:v>0.97010869565217395</c:v>
                </c:pt>
                <c:pt idx="740">
                  <c:v>0.97010869565217395</c:v>
                </c:pt>
                <c:pt idx="741">
                  <c:v>0.97010869565217395</c:v>
                </c:pt>
                <c:pt idx="742">
                  <c:v>0.97010869565217395</c:v>
                </c:pt>
                <c:pt idx="743">
                  <c:v>0.97010869565217395</c:v>
                </c:pt>
                <c:pt idx="744">
                  <c:v>0.97146739130434778</c:v>
                </c:pt>
                <c:pt idx="745">
                  <c:v>0.97146739130434778</c:v>
                </c:pt>
                <c:pt idx="746">
                  <c:v>0.97282608695652173</c:v>
                </c:pt>
                <c:pt idx="747">
                  <c:v>0.97282608695652173</c:v>
                </c:pt>
                <c:pt idx="748">
                  <c:v>0.97282608695652173</c:v>
                </c:pt>
                <c:pt idx="749">
                  <c:v>0.97282608695652173</c:v>
                </c:pt>
                <c:pt idx="750">
                  <c:v>0.97282608695652173</c:v>
                </c:pt>
                <c:pt idx="751">
                  <c:v>0.97282608695652173</c:v>
                </c:pt>
                <c:pt idx="752">
                  <c:v>0.97282608695652173</c:v>
                </c:pt>
                <c:pt idx="753">
                  <c:v>0.97282608695652173</c:v>
                </c:pt>
                <c:pt idx="754">
                  <c:v>0.97282608695652173</c:v>
                </c:pt>
                <c:pt idx="755">
                  <c:v>0.97282608695652173</c:v>
                </c:pt>
                <c:pt idx="756">
                  <c:v>0.97282608695652173</c:v>
                </c:pt>
                <c:pt idx="757">
                  <c:v>0.97554347826086951</c:v>
                </c:pt>
                <c:pt idx="758">
                  <c:v>0.97554347826086951</c:v>
                </c:pt>
                <c:pt idx="759">
                  <c:v>0.97554347826086951</c:v>
                </c:pt>
                <c:pt idx="760">
                  <c:v>0.97554347826086951</c:v>
                </c:pt>
                <c:pt idx="761">
                  <c:v>0.97554347826086951</c:v>
                </c:pt>
                <c:pt idx="762">
                  <c:v>0.97554347826086951</c:v>
                </c:pt>
                <c:pt idx="763">
                  <c:v>0.97554347826086951</c:v>
                </c:pt>
                <c:pt idx="764">
                  <c:v>0.97554347826086951</c:v>
                </c:pt>
                <c:pt idx="765">
                  <c:v>0.97554347826086951</c:v>
                </c:pt>
                <c:pt idx="766">
                  <c:v>0.97554347826086951</c:v>
                </c:pt>
                <c:pt idx="767">
                  <c:v>0.97554347826086951</c:v>
                </c:pt>
                <c:pt idx="768">
                  <c:v>0.97554347826086951</c:v>
                </c:pt>
                <c:pt idx="769">
                  <c:v>0.97554347826086951</c:v>
                </c:pt>
                <c:pt idx="770">
                  <c:v>0.97554347826086951</c:v>
                </c:pt>
                <c:pt idx="771">
                  <c:v>0.97554347826086951</c:v>
                </c:pt>
                <c:pt idx="772">
                  <c:v>0.97554347826086951</c:v>
                </c:pt>
                <c:pt idx="773">
                  <c:v>0.97554347826086951</c:v>
                </c:pt>
                <c:pt idx="774">
                  <c:v>0.97554347826086951</c:v>
                </c:pt>
                <c:pt idx="775">
                  <c:v>0.97554347826086951</c:v>
                </c:pt>
                <c:pt idx="776">
                  <c:v>0.97554347826086951</c:v>
                </c:pt>
                <c:pt idx="777">
                  <c:v>0.97554347826086951</c:v>
                </c:pt>
                <c:pt idx="778">
                  <c:v>0.97554347826086951</c:v>
                </c:pt>
                <c:pt idx="779">
                  <c:v>0.97554347826086951</c:v>
                </c:pt>
                <c:pt idx="780">
                  <c:v>0.97554347826086951</c:v>
                </c:pt>
                <c:pt idx="781">
                  <c:v>0.97554347826086951</c:v>
                </c:pt>
                <c:pt idx="782">
                  <c:v>0.97554347826086951</c:v>
                </c:pt>
                <c:pt idx="783">
                  <c:v>0.97554347826086951</c:v>
                </c:pt>
                <c:pt idx="784">
                  <c:v>0.97554347826086951</c:v>
                </c:pt>
                <c:pt idx="785">
                  <c:v>0.97690217391304346</c:v>
                </c:pt>
                <c:pt idx="786">
                  <c:v>0.97690217391304346</c:v>
                </c:pt>
                <c:pt idx="787">
                  <c:v>0.97690217391304346</c:v>
                </c:pt>
                <c:pt idx="788">
                  <c:v>0.97690217391304346</c:v>
                </c:pt>
                <c:pt idx="789">
                  <c:v>0.97690217391304346</c:v>
                </c:pt>
                <c:pt idx="790">
                  <c:v>0.97690217391304346</c:v>
                </c:pt>
                <c:pt idx="791">
                  <c:v>0.97690217391304346</c:v>
                </c:pt>
                <c:pt idx="792">
                  <c:v>0.97690217391304346</c:v>
                </c:pt>
                <c:pt idx="793">
                  <c:v>0.97690217391304346</c:v>
                </c:pt>
                <c:pt idx="794">
                  <c:v>0.97690217391304346</c:v>
                </c:pt>
                <c:pt idx="795">
                  <c:v>0.97690217391304346</c:v>
                </c:pt>
                <c:pt idx="796">
                  <c:v>0.97690217391304346</c:v>
                </c:pt>
                <c:pt idx="797">
                  <c:v>0.97826086956521741</c:v>
                </c:pt>
                <c:pt idx="798">
                  <c:v>0.97826086956521741</c:v>
                </c:pt>
                <c:pt idx="799">
                  <c:v>0.97961956521739135</c:v>
                </c:pt>
                <c:pt idx="800">
                  <c:v>0.97961956521739135</c:v>
                </c:pt>
                <c:pt idx="801">
                  <c:v>0.97961956521739135</c:v>
                </c:pt>
                <c:pt idx="802">
                  <c:v>0.97961956521739135</c:v>
                </c:pt>
                <c:pt idx="803">
                  <c:v>0.97961956521739135</c:v>
                </c:pt>
                <c:pt idx="804">
                  <c:v>0.97961956521739135</c:v>
                </c:pt>
                <c:pt idx="805">
                  <c:v>0.97961956521739135</c:v>
                </c:pt>
                <c:pt idx="806">
                  <c:v>0.97961956521739135</c:v>
                </c:pt>
                <c:pt idx="807">
                  <c:v>0.97961956521739135</c:v>
                </c:pt>
                <c:pt idx="808">
                  <c:v>0.97961956521739135</c:v>
                </c:pt>
                <c:pt idx="809">
                  <c:v>0.97961956521739135</c:v>
                </c:pt>
                <c:pt idx="810">
                  <c:v>0.97961956521739135</c:v>
                </c:pt>
                <c:pt idx="811">
                  <c:v>0.97961956521739135</c:v>
                </c:pt>
                <c:pt idx="812">
                  <c:v>0.97961956521739135</c:v>
                </c:pt>
                <c:pt idx="813">
                  <c:v>0.97961956521739135</c:v>
                </c:pt>
                <c:pt idx="814">
                  <c:v>0.97961956521739135</c:v>
                </c:pt>
                <c:pt idx="815">
                  <c:v>0.97961956521739135</c:v>
                </c:pt>
                <c:pt idx="816">
                  <c:v>0.97961956521739135</c:v>
                </c:pt>
                <c:pt idx="817">
                  <c:v>0.97961956521739135</c:v>
                </c:pt>
                <c:pt idx="818">
                  <c:v>0.97961956521739135</c:v>
                </c:pt>
                <c:pt idx="819">
                  <c:v>0.97961956521739135</c:v>
                </c:pt>
                <c:pt idx="820">
                  <c:v>0.97961956521739135</c:v>
                </c:pt>
                <c:pt idx="821">
                  <c:v>0.97961956521739135</c:v>
                </c:pt>
                <c:pt idx="822">
                  <c:v>0.97961956521739135</c:v>
                </c:pt>
                <c:pt idx="823">
                  <c:v>0.97961956521739135</c:v>
                </c:pt>
                <c:pt idx="824">
                  <c:v>0.97961956521739135</c:v>
                </c:pt>
                <c:pt idx="825">
                  <c:v>0.97961956521739135</c:v>
                </c:pt>
                <c:pt idx="826">
                  <c:v>0.97961956521739135</c:v>
                </c:pt>
                <c:pt idx="827">
                  <c:v>0.98233695652173914</c:v>
                </c:pt>
                <c:pt idx="828">
                  <c:v>0.98233695652173914</c:v>
                </c:pt>
                <c:pt idx="829">
                  <c:v>0.98233695652173914</c:v>
                </c:pt>
                <c:pt idx="830">
                  <c:v>0.98233695652173914</c:v>
                </c:pt>
                <c:pt idx="831">
                  <c:v>0.98233695652173914</c:v>
                </c:pt>
                <c:pt idx="832">
                  <c:v>0.98233695652173914</c:v>
                </c:pt>
                <c:pt idx="833">
                  <c:v>0.98233695652173914</c:v>
                </c:pt>
                <c:pt idx="834">
                  <c:v>0.98369565217391308</c:v>
                </c:pt>
                <c:pt idx="835">
                  <c:v>0.98369565217391308</c:v>
                </c:pt>
                <c:pt idx="836">
                  <c:v>0.98505434782608692</c:v>
                </c:pt>
                <c:pt idx="837">
                  <c:v>0.98505434782608692</c:v>
                </c:pt>
                <c:pt idx="838">
                  <c:v>0.98505434782608692</c:v>
                </c:pt>
                <c:pt idx="839">
                  <c:v>0.98505434782608692</c:v>
                </c:pt>
                <c:pt idx="840">
                  <c:v>0.98505434782608692</c:v>
                </c:pt>
                <c:pt idx="841">
                  <c:v>0.98505434782608692</c:v>
                </c:pt>
                <c:pt idx="842">
                  <c:v>0.98505434782608692</c:v>
                </c:pt>
                <c:pt idx="843">
                  <c:v>0.98505434782608692</c:v>
                </c:pt>
                <c:pt idx="844">
                  <c:v>0.98505434782608692</c:v>
                </c:pt>
                <c:pt idx="845">
                  <c:v>0.98641304347826086</c:v>
                </c:pt>
                <c:pt idx="846">
                  <c:v>0.98641304347826086</c:v>
                </c:pt>
                <c:pt idx="847">
                  <c:v>0.98641304347826086</c:v>
                </c:pt>
                <c:pt idx="848">
                  <c:v>0.98641304347826086</c:v>
                </c:pt>
                <c:pt idx="849">
                  <c:v>0.98641304347826086</c:v>
                </c:pt>
                <c:pt idx="850">
                  <c:v>0.98641304347826086</c:v>
                </c:pt>
                <c:pt idx="851">
                  <c:v>0.98641304347826086</c:v>
                </c:pt>
                <c:pt idx="852">
                  <c:v>0.98641304347826086</c:v>
                </c:pt>
                <c:pt idx="853">
                  <c:v>0.98641304347826086</c:v>
                </c:pt>
                <c:pt idx="854">
                  <c:v>0.98641304347826086</c:v>
                </c:pt>
                <c:pt idx="855">
                  <c:v>0.98641304347826086</c:v>
                </c:pt>
                <c:pt idx="856">
                  <c:v>0.98641304347826086</c:v>
                </c:pt>
                <c:pt idx="857">
                  <c:v>0.98641304347826086</c:v>
                </c:pt>
                <c:pt idx="858">
                  <c:v>0.98777173913043481</c:v>
                </c:pt>
                <c:pt idx="859">
                  <c:v>0.98777173913043481</c:v>
                </c:pt>
                <c:pt idx="860">
                  <c:v>0.98777173913043481</c:v>
                </c:pt>
                <c:pt idx="861">
                  <c:v>0.98777173913043481</c:v>
                </c:pt>
                <c:pt idx="862">
                  <c:v>0.98777173913043481</c:v>
                </c:pt>
                <c:pt idx="863">
                  <c:v>0.98777173913043481</c:v>
                </c:pt>
                <c:pt idx="864">
                  <c:v>0.98777173913043481</c:v>
                </c:pt>
                <c:pt idx="865">
                  <c:v>0.98777173913043481</c:v>
                </c:pt>
                <c:pt idx="866">
                  <c:v>0.98777173913043481</c:v>
                </c:pt>
                <c:pt idx="867">
                  <c:v>0.98777173913043481</c:v>
                </c:pt>
                <c:pt idx="868">
                  <c:v>0.98777173913043481</c:v>
                </c:pt>
                <c:pt idx="869">
                  <c:v>0.98777173913043481</c:v>
                </c:pt>
                <c:pt idx="870">
                  <c:v>0.98777173913043481</c:v>
                </c:pt>
                <c:pt idx="871">
                  <c:v>0.98777173913043481</c:v>
                </c:pt>
                <c:pt idx="872">
                  <c:v>0.98913043478260865</c:v>
                </c:pt>
                <c:pt idx="873">
                  <c:v>0.98913043478260865</c:v>
                </c:pt>
                <c:pt idx="874">
                  <c:v>0.98913043478260865</c:v>
                </c:pt>
                <c:pt idx="875">
                  <c:v>0.98913043478260865</c:v>
                </c:pt>
                <c:pt idx="876">
                  <c:v>0.98913043478260865</c:v>
                </c:pt>
                <c:pt idx="877">
                  <c:v>0.98913043478260865</c:v>
                </c:pt>
                <c:pt idx="878">
                  <c:v>0.99048913043478259</c:v>
                </c:pt>
                <c:pt idx="879">
                  <c:v>0.99048913043478259</c:v>
                </c:pt>
                <c:pt idx="880">
                  <c:v>0.99048913043478259</c:v>
                </c:pt>
                <c:pt idx="881">
                  <c:v>0.99048913043478259</c:v>
                </c:pt>
                <c:pt idx="882">
                  <c:v>0.99048913043478259</c:v>
                </c:pt>
                <c:pt idx="883">
                  <c:v>0.99048913043478259</c:v>
                </c:pt>
                <c:pt idx="884">
                  <c:v>0.99048913043478259</c:v>
                </c:pt>
                <c:pt idx="885">
                  <c:v>0.99048913043478259</c:v>
                </c:pt>
                <c:pt idx="886">
                  <c:v>0.99048913043478259</c:v>
                </c:pt>
                <c:pt idx="887">
                  <c:v>0.99048913043478259</c:v>
                </c:pt>
                <c:pt idx="888">
                  <c:v>0.99048913043478259</c:v>
                </c:pt>
                <c:pt idx="889">
                  <c:v>0.99048913043478259</c:v>
                </c:pt>
                <c:pt idx="890">
                  <c:v>0.99048913043478259</c:v>
                </c:pt>
                <c:pt idx="891">
                  <c:v>0.99048913043478259</c:v>
                </c:pt>
                <c:pt idx="892">
                  <c:v>0.99048913043478259</c:v>
                </c:pt>
                <c:pt idx="893">
                  <c:v>0.99184782608695654</c:v>
                </c:pt>
                <c:pt idx="894">
                  <c:v>0.99184782608695654</c:v>
                </c:pt>
                <c:pt idx="895">
                  <c:v>0.99184782608695654</c:v>
                </c:pt>
                <c:pt idx="896">
                  <c:v>0.99184782608695654</c:v>
                </c:pt>
                <c:pt idx="897">
                  <c:v>0.99184782608695654</c:v>
                </c:pt>
                <c:pt idx="898">
                  <c:v>0.99184782608695654</c:v>
                </c:pt>
                <c:pt idx="899">
                  <c:v>0.99184782608695654</c:v>
                </c:pt>
                <c:pt idx="900">
                  <c:v>0.99184782608695654</c:v>
                </c:pt>
                <c:pt idx="901">
                  <c:v>0.99184782608695654</c:v>
                </c:pt>
                <c:pt idx="902">
                  <c:v>0.99184782608695654</c:v>
                </c:pt>
                <c:pt idx="903">
                  <c:v>0.99184782608695654</c:v>
                </c:pt>
                <c:pt idx="904">
                  <c:v>0.99184782608695654</c:v>
                </c:pt>
                <c:pt idx="905">
                  <c:v>0.99184782608695654</c:v>
                </c:pt>
                <c:pt idx="906">
                  <c:v>0.99184782608695654</c:v>
                </c:pt>
                <c:pt idx="907">
                  <c:v>0.99184782608695654</c:v>
                </c:pt>
                <c:pt idx="908">
                  <c:v>0.99184782608695654</c:v>
                </c:pt>
                <c:pt idx="909">
                  <c:v>0.99184782608695654</c:v>
                </c:pt>
                <c:pt idx="910">
                  <c:v>0.99184782608695654</c:v>
                </c:pt>
                <c:pt idx="911">
                  <c:v>0.99184782608695654</c:v>
                </c:pt>
                <c:pt idx="912">
                  <c:v>0.99184782608695654</c:v>
                </c:pt>
                <c:pt idx="913">
                  <c:v>0.99320652173913049</c:v>
                </c:pt>
                <c:pt idx="914">
                  <c:v>0.99320652173913049</c:v>
                </c:pt>
                <c:pt idx="915">
                  <c:v>0.99320652173913049</c:v>
                </c:pt>
                <c:pt idx="916">
                  <c:v>0.99320652173913049</c:v>
                </c:pt>
                <c:pt idx="917">
                  <c:v>0.99320652173913049</c:v>
                </c:pt>
                <c:pt idx="918">
                  <c:v>0.99320652173913049</c:v>
                </c:pt>
                <c:pt idx="919">
                  <c:v>0.99320652173913049</c:v>
                </c:pt>
                <c:pt idx="920">
                  <c:v>0.99320652173913049</c:v>
                </c:pt>
                <c:pt idx="921">
                  <c:v>0.99320652173913049</c:v>
                </c:pt>
                <c:pt idx="922">
                  <c:v>0.99320652173913049</c:v>
                </c:pt>
                <c:pt idx="923">
                  <c:v>0.99320652173913049</c:v>
                </c:pt>
                <c:pt idx="924">
                  <c:v>0.99456521739130432</c:v>
                </c:pt>
                <c:pt idx="925">
                  <c:v>0.99456521739130432</c:v>
                </c:pt>
                <c:pt idx="926">
                  <c:v>0.99456521739130432</c:v>
                </c:pt>
                <c:pt idx="927">
                  <c:v>0.99592391304347827</c:v>
                </c:pt>
                <c:pt idx="928">
                  <c:v>0.99592391304347827</c:v>
                </c:pt>
                <c:pt idx="929">
                  <c:v>0.99592391304347827</c:v>
                </c:pt>
                <c:pt idx="930">
                  <c:v>0.99592391304347827</c:v>
                </c:pt>
                <c:pt idx="931">
                  <c:v>0.99728260869565222</c:v>
                </c:pt>
                <c:pt idx="932">
                  <c:v>0.99728260869565222</c:v>
                </c:pt>
                <c:pt idx="933">
                  <c:v>0.99728260869565222</c:v>
                </c:pt>
                <c:pt idx="934">
                  <c:v>0.99728260869565222</c:v>
                </c:pt>
                <c:pt idx="935">
                  <c:v>0.99728260869565222</c:v>
                </c:pt>
                <c:pt idx="936">
                  <c:v>0.99728260869565222</c:v>
                </c:pt>
                <c:pt idx="937">
                  <c:v>0.99728260869565222</c:v>
                </c:pt>
                <c:pt idx="938">
                  <c:v>0.99728260869565222</c:v>
                </c:pt>
                <c:pt idx="939">
                  <c:v>0.99728260869565222</c:v>
                </c:pt>
                <c:pt idx="940">
                  <c:v>0.99728260869565222</c:v>
                </c:pt>
                <c:pt idx="941">
                  <c:v>0.99728260869565222</c:v>
                </c:pt>
                <c:pt idx="942">
                  <c:v>0.99728260869565222</c:v>
                </c:pt>
                <c:pt idx="943">
                  <c:v>0.99728260869565222</c:v>
                </c:pt>
                <c:pt idx="944">
                  <c:v>0.99728260869565222</c:v>
                </c:pt>
                <c:pt idx="945">
                  <c:v>0.99728260869565222</c:v>
                </c:pt>
                <c:pt idx="946">
                  <c:v>0.99728260869565222</c:v>
                </c:pt>
                <c:pt idx="947">
                  <c:v>0.99728260869565222</c:v>
                </c:pt>
                <c:pt idx="948">
                  <c:v>0.99728260869565222</c:v>
                </c:pt>
                <c:pt idx="949">
                  <c:v>0.99728260869565222</c:v>
                </c:pt>
                <c:pt idx="950">
                  <c:v>0.99728260869565222</c:v>
                </c:pt>
                <c:pt idx="951">
                  <c:v>0.99728260869565222</c:v>
                </c:pt>
                <c:pt idx="952">
                  <c:v>0.99728260869565222</c:v>
                </c:pt>
                <c:pt idx="953">
                  <c:v>0.99728260869565222</c:v>
                </c:pt>
                <c:pt idx="954">
                  <c:v>0.99728260869565222</c:v>
                </c:pt>
                <c:pt idx="955">
                  <c:v>0.99728260869565222</c:v>
                </c:pt>
                <c:pt idx="956">
                  <c:v>0.99728260869565222</c:v>
                </c:pt>
                <c:pt idx="957">
                  <c:v>0.99728260869565222</c:v>
                </c:pt>
                <c:pt idx="958">
                  <c:v>0.99728260869565222</c:v>
                </c:pt>
                <c:pt idx="959">
                  <c:v>0.99728260869565222</c:v>
                </c:pt>
                <c:pt idx="960">
                  <c:v>0.99728260869565222</c:v>
                </c:pt>
                <c:pt idx="961">
                  <c:v>0.99728260869565222</c:v>
                </c:pt>
                <c:pt idx="962">
                  <c:v>0.99728260869565222</c:v>
                </c:pt>
                <c:pt idx="963">
                  <c:v>0.99728260869565222</c:v>
                </c:pt>
                <c:pt idx="964">
                  <c:v>0.99728260869565222</c:v>
                </c:pt>
                <c:pt idx="965">
                  <c:v>0.99728260869565222</c:v>
                </c:pt>
                <c:pt idx="966">
                  <c:v>0.99864130434782605</c:v>
                </c:pt>
                <c:pt idx="967">
                  <c:v>0.99864130434782605</c:v>
                </c:pt>
                <c:pt idx="968">
                  <c:v>0.99864130434782605</c:v>
                </c:pt>
                <c:pt idx="969">
                  <c:v>0.99864130434782605</c:v>
                </c:pt>
                <c:pt idx="970">
                  <c:v>0.99864130434782605</c:v>
                </c:pt>
                <c:pt idx="971">
                  <c:v>0.99864130434782605</c:v>
                </c:pt>
                <c:pt idx="972">
                  <c:v>0.99864130434782605</c:v>
                </c:pt>
                <c:pt idx="973">
                  <c:v>0.99864130434782605</c:v>
                </c:pt>
                <c:pt idx="974">
                  <c:v>0.99864130434782605</c:v>
                </c:pt>
                <c:pt idx="975">
                  <c:v>0.99864130434782605</c:v>
                </c:pt>
                <c:pt idx="976">
                  <c:v>0.99864130434782605</c:v>
                </c:pt>
                <c:pt idx="977">
                  <c:v>0.99864130434782605</c:v>
                </c:pt>
                <c:pt idx="978">
                  <c:v>0.99864130434782605</c:v>
                </c:pt>
                <c:pt idx="979">
                  <c:v>0.99864130434782605</c:v>
                </c:pt>
                <c:pt idx="980">
                  <c:v>0.99864130434782605</c:v>
                </c:pt>
                <c:pt idx="981">
                  <c:v>0.99864130434782605</c:v>
                </c:pt>
                <c:pt idx="982">
                  <c:v>0.99864130434782605</c:v>
                </c:pt>
                <c:pt idx="983">
                  <c:v>0.99864130434782605</c:v>
                </c:pt>
                <c:pt idx="984">
                  <c:v>0.99864130434782605</c:v>
                </c:pt>
                <c:pt idx="985">
                  <c:v>0.99864130434782605</c:v>
                </c:pt>
                <c:pt idx="986">
                  <c:v>0.99864130434782605</c:v>
                </c:pt>
                <c:pt idx="987">
                  <c:v>0.99864130434782605</c:v>
                </c:pt>
                <c:pt idx="988">
                  <c:v>0.99864130434782605</c:v>
                </c:pt>
                <c:pt idx="989">
                  <c:v>0.99864130434782605</c:v>
                </c:pt>
                <c:pt idx="990">
                  <c:v>0.99864130434782605</c:v>
                </c:pt>
                <c:pt idx="991">
                  <c:v>0.99864130434782605</c:v>
                </c:pt>
                <c:pt idx="992">
                  <c:v>0.99864130434782605</c:v>
                </c:pt>
                <c:pt idx="993">
                  <c:v>0.99864130434782605</c:v>
                </c:pt>
                <c:pt idx="994">
                  <c:v>0.99864130434782605</c:v>
                </c:pt>
                <c:pt idx="995">
                  <c:v>0.99864130434782605</c:v>
                </c:pt>
                <c:pt idx="996">
                  <c:v>0.99864130434782605</c:v>
                </c:pt>
                <c:pt idx="997">
                  <c:v>0.99864130434782605</c:v>
                </c:pt>
                <c:pt idx="998">
                  <c:v>0.99864130434782605</c:v>
                </c:pt>
                <c:pt idx="999">
                  <c:v>0.99864130434782605</c:v>
                </c:pt>
                <c:pt idx="1000">
                  <c:v>0.99864130434782605</c:v>
                </c:pt>
                <c:pt idx="1001">
                  <c:v>0.99864130434782605</c:v>
                </c:pt>
                <c:pt idx="1002">
                  <c:v>0.99864130434782605</c:v>
                </c:pt>
                <c:pt idx="1003">
                  <c:v>0.99864130434782605</c:v>
                </c:pt>
                <c:pt idx="1004">
                  <c:v>0.99864130434782605</c:v>
                </c:pt>
                <c:pt idx="1005">
                  <c:v>0.99864130434782605</c:v>
                </c:pt>
                <c:pt idx="1006">
                  <c:v>0.99864130434782605</c:v>
                </c:pt>
                <c:pt idx="1007">
                  <c:v>0.99864130434782605</c:v>
                </c:pt>
                <c:pt idx="1008">
                  <c:v>0.99864130434782605</c:v>
                </c:pt>
                <c:pt idx="1009">
                  <c:v>0.99864130434782605</c:v>
                </c:pt>
                <c:pt idx="1010">
                  <c:v>0.99864130434782605</c:v>
                </c:pt>
                <c:pt idx="1011">
                  <c:v>0.99864130434782605</c:v>
                </c:pt>
                <c:pt idx="1012">
                  <c:v>0.99864130434782605</c:v>
                </c:pt>
                <c:pt idx="1013">
                  <c:v>0.99864130434782605</c:v>
                </c:pt>
                <c:pt idx="1014">
                  <c:v>0.99864130434782605</c:v>
                </c:pt>
                <c:pt idx="1015">
                  <c:v>0.99864130434782605</c:v>
                </c:pt>
                <c:pt idx="1016">
                  <c:v>0.99864130434782605</c:v>
                </c:pt>
                <c:pt idx="1017">
                  <c:v>0.99864130434782605</c:v>
                </c:pt>
                <c:pt idx="1018">
                  <c:v>0.99864130434782605</c:v>
                </c:pt>
                <c:pt idx="1019">
                  <c:v>0.99864130434782605</c:v>
                </c:pt>
                <c:pt idx="1020">
                  <c:v>0.99864130434782605</c:v>
                </c:pt>
                <c:pt idx="1021">
                  <c:v>0.99864130434782605</c:v>
                </c:pt>
                <c:pt idx="1022">
                  <c:v>0.99864130434782605</c:v>
                </c:pt>
                <c:pt idx="1023">
                  <c:v>0.99864130434782605</c:v>
                </c:pt>
                <c:pt idx="10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24-45F4-8F6A-D27880D68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363776"/>
        <c:axId val="277369536"/>
      </c:lineChart>
      <c:catAx>
        <c:axId val="27736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7362336"/>
        <c:crosses val="autoZero"/>
        <c:auto val="1"/>
        <c:lblAlgn val="ctr"/>
        <c:lblOffset val="100"/>
        <c:noMultiLvlLbl val="0"/>
      </c:catAx>
      <c:valAx>
        <c:axId val="27736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Frekans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7369056"/>
        <c:crosses val="autoZero"/>
        <c:crossBetween val="between"/>
      </c:valAx>
      <c:valAx>
        <c:axId val="2773695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77363776"/>
        <c:crosses val="max"/>
        <c:crossBetween val="between"/>
      </c:valAx>
      <c:catAx>
        <c:axId val="27736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736953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Frekans</c:v>
          </c:tx>
          <c:invertIfNegative val="0"/>
          <c:cat>
            <c:strRef>
              <c:f>Histogram!$I$2:$I$21</c:f>
              <c:strCache>
                <c:ptCount val="20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Diğer</c:v>
                </c:pt>
              </c:strCache>
            </c:strRef>
          </c:cat>
          <c:val>
            <c:numRef>
              <c:f>Histogram!$J$2:$J$21</c:f>
              <c:numCache>
                <c:formatCode>General</c:formatCode>
                <c:ptCount val="20"/>
                <c:pt idx="0">
                  <c:v>1</c:v>
                </c:pt>
                <c:pt idx="1">
                  <c:v>173</c:v>
                </c:pt>
                <c:pt idx="2">
                  <c:v>121</c:v>
                </c:pt>
                <c:pt idx="3">
                  <c:v>96</c:v>
                </c:pt>
                <c:pt idx="4">
                  <c:v>62</c:v>
                </c:pt>
                <c:pt idx="5">
                  <c:v>59</c:v>
                </c:pt>
                <c:pt idx="6">
                  <c:v>54</c:v>
                </c:pt>
                <c:pt idx="7">
                  <c:v>35</c:v>
                </c:pt>
                <c:pt idx="8">
                  <c:v>24</c:v>
                </c:pt>
                <c:pt idx="9">
                  <c:v>26</c:v>
                </c:pt>
                <c:pt idx="10">
                  <c:v>24</c:v>
                </c:pt>
                <c:pt idx="11">
                  <c:v>13</c:v>
                </c:pt>
                <c:pt idx="12">
                  <c:v>16</c:v>
                </c:pt>
                <c:pt idx="13">
                  <c:v>7</c:v>
                </c:pt>
                <c:pt idx="14">
                  <c:v>7</c:v>
                </c:pt>
                <c:pt idx="15">
                  <c:v>3</c:v>
                </c:pt>
                <c:pt idx="16">
                  <c:v>8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A-4F70-8922-E22BD2C3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5248319"/>
        <c:axId val="1725248799"/>
      </c:barChart>
      <c:catAx>
        <c:axId val="172524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5248799"/>
        <c:crosses val="autoZero"/>
        <c:auto val="1"/>
        <c:lblAlgn val="ctr"/>
        <c:lblOffset val="100"/>
        <c:noMultiLvlLbl val="0"/>
      </c:catAx>
      <c:valAx>
        <c:axId val="1725248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Frekans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52483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177800</xdr:rowOff>
    </xdr:from>
    <xdr:to>
      <xdr:col>12</xdr:col>
      <xdr:colOff>546100</xdr:colOff>
      <xdr:row>17</xdr:row>
      <xdr:rowOff>158750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3CFC2A5-3E10-4E9D-4958-77822878D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11546</xdr:colOff>
      <xdr:row>9</xdr:row>
      <xdr:rowOff>14514</xdr:rowOff>
    </xdr:from>
    <xdr:to>
      <xdr:col>7</xdr:col>
      <xdr:colOff>764721</xdr:colOff>
      <xdr:row>22</xdr:row>
      <xdr:rowOff>69273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5B7B546-B1B9-93A1-8E75-CCCC87C9F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954974</xdr:colOff>
      <xdr:row>23</xdr:row>
      <xdr:rowOff>78343</xdr:rowOff>
    </xdr:from>
    <xdr:to>
      <xdr:col>8</xdr:col>
      <xdr:colOff>490371</xdr:colOff>
      <xdr:row>59</xdr:row>
      <xdr:rowOff>120081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104B599-690C-A6D7-FFC9-46934A70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0610" y="4338616"/>
          <a:ext cx="5735306" cy="66919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09E-ED3C-475E-A751-6170BFBA78C1}">
  <sheetPr filterMode="1"/>
  <dimension ref="A1:T1007"/>
  <sheetViews>
    <sheetView zoomScale="81" zoomScaleNormal="70" workbookViewId="0">
      <selection activeCell="O30" sqref="O30"/>
    </sheetView>
  </sheetViews>
  <sheetFormatPr defaultRowHeight="14.5"/>
  <cols>
    <col min="7" max="10" width="8.81640625" bestFit="1" customWidth="1"/>
    <col min="11" max="11" width="9.08984375" bestFit="1" customWidth="1"/>
    <col min="12" max="12" width="15.26953125" customWidth="1"/>
    <col min="14" max="17" width="8.81640625" bestFit="1" customWidth="1"/>
    <col min="18" max="18" width="15.26953125" style="3" customWidth="1"/>
    <col min="19" max="19" width="18.453125" customWidth="1"/>
    <col min="20" max="20" width="13.5429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1036</v>
      </c>
      <c r="S1" t="s">
        <v>1037</v>
      </c>
      <c r="T1" t="s">
        <v>1038</v>
      </c>
    </row>
    <row r="2" spans="1:20" hidden="1">
      <c r="A2" t="s">
        <v>52</v>
      </c>
      <c r="B2" t="s">
        <v>18</v>
      </c>
      <c r="C2" t="s">
        <v>19</v>
      </c>
      <c r="D2" t="s">
        <v>20</v>
      </c>
      <c r="E2" t="s">
        <v>21</v>
      </c>
      <c r="F2" t="s">
        <v>35</v>
      </c>
      <c r="G2">
        <v>72.61</v>
      </c>
      <c r="H2">
        <v>6</v>
      </c>
      <c r="I2">
        <v>21.783000000000001</v>
      </c>
      <c r="J2">
        <v>457.44299999999998</v>
      </c>
      <c r="K2" s="1">
        <v>43466</v>
      </c>
      <c r="L2" s="2">
        <v>0.44374999999999998</v>
      </c>
      <c r="M2" t="s">
        <v>32</v>
      </c>
      <c r="N2">
        <v>435.66</v>
      </c>
      <c r="O2">
        <v>4.7619047620000003</v>
      </c>
      <c r="P2">
        <v>21.783000000000001</v>
      </c>
      <c r="Q2">
        <v>6.9</v>
      </c>
      <c r="R2" s="3">
        <f t="shared" ref="R2:R65" si="0">K2+L2</f>
        <v>43466.443749999999</v>
      </c>
      <c r="S2" t="str">
        <f t="shared" ref="S2:S15" si="1">IF(K2=K1, (R2-R1)*1440, "")</f>
        <v/>
      </c>
      <c r="T2" t="str">
        <f>IF(S2="","",ROUND(S2,2))</f>
        <v/>
      </c>
    </row>
    <row r="3" spans="1:20">
      <c r="A3" t="s">
        <v>603</v>
      </c>
      <c r="B3" t="s">
        <v>18</v>
      </c>
      <c r="C3" t="s">
        <v>19</v>
      </c>
      <c r="D3" t="s">
        <v>27</v>
      </c>
      <c r="E3" t="s">
        <v>21</v>
      </c>
      <c r="F3" t="s">
        <v>45</v>
      </c>
      <c r="G3">
        <v>65.739999999999995</v>
      </c>
      <c r="H3">
        <v>9</v>
      </c>
      <c r="I3">
        <v>29.582999999999998</v>
      </c>
      <c r="J3">
        <v>621.24300000000005</v>
      </c>
      <c r="K3" s="1">
        <v>43466</v>
      </c>
      <c r="L3" s="2">
        <v>0.57986111111111116</v>
      </c>
      <c r="M3" t="s">
        <v>29</v>
      </c>
      <c r="N3">
        <v>591.66</v>
      </c>
      <c r="O3">
        <v>4.7619047620000003</v>
      </c>
      <c r="P3">
        <v>29.582999999999998</v>
      </c>
      <c r="Q3">
        <v>7.7</v>
      </c>
      <c r="R3" s="3">
        <f t="shared" si="0"/>
        <v>43466.579861111109</v>
      </c>
      <c r="S3">
        <f t="shared" si="1"/>
        <v>195.99999999976717</v>
      </c>
      <c r="T3">
        <f t="shared" ref="T3:T66" si="2">IF(S3="","",ROUND(S3,2))</f>
        <v>196</v>
      </c>
    </row>
    <row r="4" spans="1:20">
      <c r="A4" t="s">
        <v>865</v>
      </c>
      <c r="B4" t="s">
        <v>18</v>
      </c>
      <c r="C4" t="s">
        <v>19</v>
      </c>
      <c r="D4" t="s">
        <v>20</v>
      </c>
      <c r="E4" t="s">
        <v>21</v>
      </c>
      <c r="F4" t="s">
        <v>28</v>
      </c>
      <c r="G4">
        <v>74.22</v>
      </c>
      <c r="H4">
        <v>10</v>
      </c>
      <c r="I4">
        <v>37.11</v>
      </c>
      <c r="J4">
        <v>779.31</v>
      </c>
      <c r="K4" s="1">
        <v>43466</v>
      </c>
      <c r="L4" s="2">
        <v>0.61250000000000004</v>
      </c>
      <c r="M4" t="s">
        <v>32</v>
      </c>
      <c r="N4">
        <v>742.2</v>
      </c>
      <c r="O4">
        <v>4.7619047620000003</v>
      </c>
      <c r="P4">
        <v>37.11</v>
      </c>
      <c r="Q4">
        <v>4.3</v>
      </c>
      <c r="R4" s="3">
        <f t="shared" si="0"/>
        <v>43466.612500000003</v>
      </c>
      <c r="S4">
        <f t="shared" si="1"/>
        <v>47.000000006519258</v>
      </c>
      <c r="T4">
        <f t="shared" si="2"/>
        <v>47</v>
      </c>
    </row>
    <row r="5" spans="1:20">
      <c r="A5" t="s">
        <v>281</v>
      </c>
      <c r="B5" t="s">
        <v>18</v>
      </c>
      <c r="C5" t="s">
        <v>19</v>
      </c>
      <c r="D5" t="s">
        <v>20</v>
      </c>
      <c r="E5" t="s">
        <v>177</v>
      </c>
      <c r="F5" t="s">
        <v>31</v>
      </c>
      <c r="G5">
        <v>47.59</v>
      </c>
      <c r="H5">
        <v>8</v>
      </c>
      <c r="I5">
        <v>19.036000000000001</v>
      </c>
      <c r="J5">
        <v>399.75599999999997</v>
      </c>
      <c r="K5" s="1">
        <v>43466</v>
      </c>
      <c r="L5" s="2">
        <v>0.61597222222222225</v>
      </c>
      <c r="M5" t="s">
        <v>29</v>
      </c>
      <c r="N5">
        <v>380.72</v>
      </c>
      <c r="O5">
        <v>4.7619047620000003</v>
      </c>
      <c r="P5">
        <v>19.036000000000001</v>
      </c>
      <c r="Q5">
        <v>5.7</v>
      </c>
      <c r="R5" s="3">
        <f t="shared" si="0"/>
        <v>43466.615972222222</v>
      </c>
      <c r="S5">
        <f t="shared" si="1"/>
        <v>4.9999999953433871</v>
      </c>
      <c r="T5">
        <f t="shared" si="2"/>
        <v>5</v>
      </c>
    </row>
    <row r="6" spans="1:20">
      <c r="A6" t="s">
        <v>732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27.04</v>
      </c>
      <c r="H6">
        <v>4</v>
      </c>
      <c r="I6">
        <v>5.4080000000000004</v>
      </c>
      <c r="J6">
        <v>113.568</v>
      </c>
      <c r="K6" s="1">
        <v>43466</v>
      </c>
      <c r="L6" s="2">
        <v>0.85138888888888886</v>
      </c>
      <c r="M6" t="s">
        <v>23</v>
      </c>
      <c r="N6">
        <v>108.16</v>
      </c>
      <c r="O6">
        <v>4.7619047620000003</v>
      </c>
      <c r="P6">
        <v>5.4080000000000004</v>
      </c>
      <c r="Q6">
        <v>6.9</v>
      </c>
      <c r="R6" s="3">
        <f t="shared" si="0"/>
        <v>43466.851388888892</v>
      </c>
      <c r="S6">
        <f t="shared" si="1"/>
        <v>339.00000000488944</v>
      </c>
      <c r="T6">
        <f t="shared" si="2"/>
        <v>339</v>
      </c>
    </row>
    <row r="7" spans="1:20" hidden="1">
      <c r="A7" t="s">
        <v>594</v>
      </c>
      <c r="B7" t="s">
        <v>18</v>
      </c>
      <c r="C7" t="s">
        <v>19</v>
      </c>
      <c r="D7" t="s">
        <v>20</v>
      </c>
      <c r="E7" t="s">
        <v>177</v>
      </c>
      <c r="F7" t="s">
        <v>43</v>
      </c>
      <c r="G7">
        <v>41.66</v>
      </c>
      <c r="H7">
        <v>6</v>
      </c>
      <c r="I7">
        <v>12.497999999999999</v>
      </c>
      <c r="J7">
        <v>262.45800000000003</v>
      </c>
      <c r="K7" s="1">
        <v>43467</v>
      </c>
      <c r="L7" s="2">
        <v>0.64166666666666672</v>
      </c>
      <c r="M7" t="s">
        <v>23</v>
      </c>
      <c r="N7">
        <v>249.96</v>
      </c>
      <c r="O7">
        <v>4.7619047620000003</v>
      </c>
      <c r="P7">
        <v>12.497999999999999</v>
      </c>
      <c r="Q7">
        <v>5.6</v>
      </c>
      <c r="R7" s="3">
        <f t="shared" si="0"/>
        <v>43467.64166666667</v>
      </c>
      <c r="S7" t="str">
        <f t="shared" si="1"/>
        <v/>
      </c>
      <c r="T7" t="str">
        <f t="shared" si="2"/>
        <v/>
      </c>
    </row>
    <row r="8" spans="1:20">
      <c r="A8" t="s">
        <v>123</v>
      </c>
      <c r="B8" t="s">
        <v>18</v>
      </c>
      <c r="C8" t="s">
        <v>19</v>
      </c>
      <c r="D8" t="s">
        <v>20</v>
      </c>
      <c r="E8" t="s">
        <v>21</v>
      </c>
      <c r="F8" t="s">
        <v>35</v>
      </c>
      <c r="G8">
        <v>42.47</v>
      </c>
      <c r="H8">
        <v>1</v>
      </c>
      <c r="I8">
        <v>2.1234999999999999</v>
      </c>
      <c r="J8">
        <v>44.593499999999999</v>
      </c>
      <c r="K8" s="1">
        <v>43467</v>
      </c>
      <c r="L8" s="2">
        <v>0.70625000000000004</v>
      </c>
      <c r="M8" t="s">
        <v>29</v>
      </c>
      <c r="N8">
        <v>42.47</v>
      </c>
      <c r="O8">
        <v>4.7619047620000003</v>
      </c>
      <c r="P8">
        <v>2.1234999999999999</v>
      </c>
      <c r="Q8">
        <v>5.7</v>
      </c>
      <c r="R8" s="3">
        <f t="shared" si="0"/>
        <v>43467.706250000003</v>
      </c>
      <c r="S8">
        <f t="shared" si="1"/>
        <v>92.999999999301508</v>
      </c>
      <c r="T8">
        <f t="shared" si="2"/>
        <v>93</v>
      </c>
    </row>
    <row r="9" spans="1:20" hidden="1">
      <c r="A9" t="s">
        <v>206</v>
      </c>
      <c r="B9" t="s">
        <v>18</v>
      </c>
      <c r="C9" t="s">
        <v>19</v>
      </c>
      <c r="D9" t="s">
        <v>27</v>
      </c>
      <c r="E9" t="s">
        <v>177</v>
      </c>
      <c r="F9" t="s">
        <v>22</v>
      </c>
      <c r="G9">
        <v>70.010000000000005</v>
      </c>
      <c r="H9">
        <v>5</v>
      </c>
      <c r="I9">
        <v>17.502500000000001</v>
      </c>
      <c r="J9">
        <v>367.55250000000001</v>
      </c>
      <c r="K9" s="1">
        <v>43468</v>
      </c>
      <c r="L9" s="2">
        <v>0.48333333333333334</v>
      </c>
      <c r="M9" t="s">
        <v>23</v>
      </c>
      <c r="N9">
        <v>350.05</v>
      </c>
      <c r="O9">
        <v>4.7619047620000003</v>
      </c>
      <c r="P9">
        <v>17.502500000000001</v>
      </c>
      <c r="Q9">
        <v>5.5</v>
      </c>
      <c r="R9" s="3">
        <f t="shared" si="0"/>
        <v>43468.48333333333</v>
      </c>
      <c r="S9" t="str">
        <f t="shared" si="1"/>
        <v/>
      </c>
      <c r="T9" t="str">
        <f t="shared" si="2"/>
        <v/>
      </c>
    </row>
    <row r="10" spans="1:20">
      <c r="A10" t="s">
        <v>241</v>
      </c>
      <c r="B10" t="s">
        <v>18</v>
      </c>
      <c r="C10" t="s">
        <v>19</v>
      </c>
      <c r="D10" t="s">
        <v>27</v>
      </c>
      <c r="E10" t="s">
        <v>21</v>
      </c>
      <c r="F10" t="s">
        <v>22</v>
      </c>
      <c r="G10">
        <v>23.03</v>
      </c>
      <c r="H10">
        <v>9</v>
      </c>
      <c r="I10">
        <v>10.3635</v>
      </c>
      <c r="J10">
        <v>217.6335</v>
      </c>
      <c r="K10" s="1">
        <v>43468</v>
      </c>
      <c r="L10" s="2">
        <v>0.50138888888888888</v>
      </c>
      <c r="M10" t="s">
        <v>23</v>
      </c>
      <c r="N10">
        <v>207.27</v>
      </c>
      <c r="O10">
        <v>4.7619047620000003</v>
      </c>
      <c r="P10">
        <v>10.3635</v>
      </c>
      <c r="Q10">
        <v>7.9</v>
      </c>
      <c r="R10" s="3">
        <f t="shared" si="0"/>
        <v>43468.501388888886</v>
      </c>
      <c r="S10">
        <f t="shared" si="1"/>
        <v>26.000000000931323</v>
      </c>
      <c r="T10">
        <f t="shared" si="2"/>
        <v>26</v>
      </c>
    </row>
    <row r="11" spans="1:20">
      <c r="A11" t="s">
        <v>410</v>
      </c>
      <c r="B11" t="s">
        <v>18</v>
      </c>
      <c r="C11" t="s">
        <v>19</v>
      </c>
      <c r="D11" t="s">
        <v>27</v>
      </c>
      <c r="E11" t="s">
        <v>21</v>
      </c>
      <c r="F11" t="s">
        <v>31</v>
      </c>
      <c r="G11">
        <v>67.09</v>
      </c>
      <c r="H11">
        <v>5</v>
      </c>
      <c r="I11">
        <v>16.772500000000001</v>
      </c>
      <c r="J11">
        <v>352.22250000000003</v>
      </c>
      <c r="K11" s="1">
        <v>43468</v>
      </c>
      <c r="L11" s="2">
        <v>0.69930555555555551</v>
      </c>
      <c r="M11" t="s">
        <v>32</v>
      </c>
      <c r="N11">
        <v>335.45</v>
      </c>
      <c r="O11">
        <v>4.7619047620000003</v>
      </c>
      <c r="P11">
        <v>16.772500000000001</v>
      </c>
      <c r="Q11">
        <v>9.1</v>
      </c>
      <c r="R11" s="3">
        <f t="shared" si="0"/>
        <v>43468.699305555558</v>
      </c>
      <c r="S11">
        <f t="shared" si="1"/>
        <v>285.00000000698492</v>
      </c>
      <c r="T11">
        <f t="shared" si="2"/>
        <v>285</v>
      </c>
    </row>
    <row r="12" spans="1:20" hidden="1">
      <c r="A12" t="s">
        <v>448</v>
      </c>
      <c r="B12" t="s">
        <v>18</v>
      </c>
      <c r="C12" t="s">
        <v>19</v>
      </c>
      <c r="D12" t="s">
        <v>20</v>
      </c>
      <c r="E12" t="s">
        <v>177</v>
      </c>
      <c r="F12" t="s">
        <v>22</v>
      </c>
      <c r="G12">
        <v>20.97</v>
      </c>
      <c r="H12">
        <v>5</v>
      </c>
      <c r="I12">
        <v>5.2424999999999997</v>
      </c>
      <c r="J12">
        <v>110.0925</v>
      </c>
      <c r="K12" s="1">
        <v>43469</v>
      </c>
      <c r="L12" s="2">
        <v>0.55625000000000002</v>
      </c>
      <c r="M12" t="s">
        <v>29</v>
      </c>
      <c r="N12">
        <v>104.85</v>
      </c>
      <c r="O12">
        <v>4.7619047620000003</v>
      </c>
      <c r="P12">
        <v>5.2424999999999997</v>
      </c>
      <c r="Q12">
        <v>7.8</v>
      </c>
      <c r="R12" s="3">
        <f t="shared" si="0"/>
        <v>43469.556250000001</v>
      </c>
      <c r="S12" t="str">
        <f t="shared" si="1"/>
        <v/>
      </c>
      <c r="T12" t="str">
        <f t="shared" si="2"/>
        <v/>
      </c>
    </row>
    <row r="13" spans="1:20">
      <c r="A13" t="s">
        <v>305</v>
      </c>
      <c r="B13" t="s">
        <v>18</v>
      </c>
      <c r="C13" t="s">
        <v>19</v>
      </c>
      <c r="D13" t="s">
        <v>20</v>
      </c>
      <c r="E13" t="s">
        <v>21</v>
      </c>
      <c r="F13" t="s">
        <v>31</v>
      </c>
      <c r="G13">
        <v>35.54</v>
      </c>
      <c r="H13">
        <v>10</v>
      </c>
      <c r="I13">
        <v>17.77</v>
      </c>
      <c r="J13">
        <v>373.17</v>
      </c>
      <c r="K13" s="1">
        <v>43469</v>
      </c>
      <c r="L13" s="2">
        <v>0.56527777777777777</v>
      </c>
      <c r="M13" t="s">
        <v>23</v>
      </c>
      <c r="N13">
        <v>355.4</v>
      </c>
      <c r="O13">
        <v>4.7619047620000003</v>
      </c>
      <c r="P13">
        <v>17.77</v>
      </c>
      <c r="Q13">
        <v>7</v>
      </c>
      <c r="R13" s="3">
        <f t="shared" si="0"/>
        <v>43469.56527777778</v>
      </c>
      <c r="S13">
        <f t="shared" si="1"/>
        <v>13.000000000465661</v>
      </c>
      <c r="T13">
        <f t="shared" si="2"/>
        <v>13</v>
      </c>
    </row>
    <row r="14" spans="1:20" hidden="1">
      <c r="A14" t="s">
        <v>279</v>
      </c>
      <c r="B14" t="s">
        <v>18</v>
      </c>
      <c r="C14" t="s">
        <v>19</v>
      </c>
      <c r="D14" t="s">
        <v>20</v>
      </c>
      <c r="E14" t="s">
        <v>177</v>
      </c>
      <c r="F14" t="s">
        <v>31</v>
      </c>
      <c r="G14">
        <v>62.65</v>
      </c>
      <c r="H14">
        <v>4</v>
      </c>
      <c r="I14">
        <v>12.53</v>
      </c>
      <c r="J14">
        <v>263.13</v>
      </c>
      <c r="K14" s="1">
        <v>43470</v>
      </c>
      <c r="L14" s="2">
        <v>0.47569444444444442</v>
      </c>
      <c r="M14" t="s">
        <v>29</v>
      </c>
      <c r="N14">
        <v>250.6</v>
      </c>
      <c r="O14">
        <v>4.7619047620000003</v>
      </c>
      <c r="P14">
        <v>12.53</v>
      </c>
      <c r="Q14">
        <v>4.2</v>
      </c>
      <c r="R14" s="3">
        <f t="shared" si="0"/>
        <v>43470.475694444445</v>
      </c>
      <c r="S14" t="str">
        <f t="shared" si="1"/>
        <v/>
      </c>
      <c r="T14" t="str">
        <f t="shared" si="2"/>
        <v/>
      </c>
    </row>
    <row r="15" spans="1:20">
      <c r="A15" t="s">
        <v>981</v>
      </c>
      <c r="B15" t="s">
        <v>18</v>
      </c>
      <c r="C15" t="s">
        <v>19</v>
      </c>
      <c r="D15" t="s">
        <v>27</v>
      </c>
      <c r="E15" t="s">
        <v>21</v>
      </c>
      <c r="F15" t="s">
        <v>28</v>
      </c>
      <c r="G15">
        <v>93.88</v>
      </c>
      <c r="H15">
        <v>7</v>
      </c>
      <c r="I15">
        <v>32.857999999999997</v>
      </c>
      <c r="J15">
        <v>690.01800000000003</v>
      </c>
      <c r="K15" s="1">
        <v>43470</v>
      </c>
      <c r="L15" s="2">
        <v>0.49375000000000002</v>
      </c>
      <c r="M15" t="s">
        <v>32</v>
      </c>
      <c r="N15">
        <v>657.16</v>
      </c>
      <c r="O15">
        <v>4.7619047620000003</v>
      </c>
      <c r="P15">
        <v>32.857999999999997</v>
      </c>
      <c r="Q15">
        <v>7.3</v>
      </c>
      <c r="R15" s="3">
        <f t="shared" si="0"/>
        <v>43470.493750000001</v>
      </c>
      <c r="S15">
        <f t="shared" si="1"/>
        <v>26.000000000931323</v>
      </c>
      <c r="T15">
        <f t="shared" si="2"/>
        <v>26</v>
      </c>
    </row>
    <row r="16" spans="1:20" hidden="1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74.69</v>
      </c>
      <c r="H16">
        <v>7</v>
      </c>
      <c r="I16">
        <v>26.141500000000001</v>
      </c>
      <c r="J16">
        <v>548.97149999999999</v>
      </c>
      <c r="K16" s="1">
        <v>43470</v>
      </c>
      <c r="L16" s="2">
        <v>0.54722222222222228</v>
      </c>
      <c r="M16" t="s">
        <v>23</v>
      </c>
      <c r="N16">
        <v>522.83000000000004</v>
      </c>
      <c r="O16">
        <v>4.7619047620000003</v>
      </c>
      <c r="P16">
        <v>26.141500000000001</v>
      </c>
      <c r="Q16">
        <v>9.1</v>
      </c>
      <c r="R16" s="3">
        <f t="shared" si="0"/>
        <v>43470.547222222223</v>
      </c>
      <c r="S16" t="str">
        <f>""</f>
        <v/>
      </c>
      <c r="T16" t="str">
        <f t="shared" si="2"/>
        <v/>
      </c>
    </row>
    <row r="17" spans="1:20">
      <c r="A17" t="s">
        <v>304</v>
      </c>
      <c r="B17" t="s">
        <v>18</v>
      </c>
      <c r="C17" t="s">
        <v>19</v>
      </c>
      <c r="D17" t="s">
        <v>20</v>
      </c>
      <c r="E17" t="s">
        <v>177</v>
      </c>
      <c r="F17" t="s">
        <v>31</v>
      </c>
      <c r="G17">
        <v>70.739999999999995</v>
      </c>
      <c r="H17">
        <v>4</v>
      </c>
      <c r="I17">
        <v>14.148</v>
      </c>
      <c r="J17">
        <v>297.108</v>
      </c>
      <c r="K17" s="1">
        <v>43470</v>
      </c>
      <c r="L17" s="2">
        <v>0.67013888888888884</v>
      </c>
      <c r="M17" t="s">
        <v>32</v>
      </c>
      <c r="N17">
        <v>282.95999999999998</v>
      </c>
      <c r="O17">
        <v>4.7619047620000003</v>
      </c>
      <c r="P17">
        <v>14.148</v>
      </c>
      <c r="Q17">
        <v>4.4000000000000004</v>
      </c>
      <c r="R17" s="3">
        <f t="shared" si="0"/>
        <v>43470.670138888891</v>
      </c>
      <c r="S17">
        <f t="shared" ref="S17:S80" si="3">IF(K17=K16, (R17-R16)*1440, "")</f>
        <v>177.00000000069849</v>
      </c>
      <c r="T17">
        <f t="shared" si="2"/>
        <v>177</v>
      </c>
    </row>
    <row r="18" spans="1:20">
      <c r="A18" t="s">
        <v>547</v>
      </c>
      <c r="B18" t="s">
        <v>18</v>
      </c>
      <c r="C18" t="s">
        <v>19</v>
      </c>
      <c r="D18" t="s">
        <v>27</v>
      </c>
      <c r="E18" t="s">
        <v>21</v>
      </c>
      <c r="F18" t="s">
        <v>31</v>
      </c>
      <c r="G18">
        <v>42.91</v>
      </c>
      <c r="H18">
        <v>5</v>
      </c>
      <c r="I18">
        <v>10.727499999999999</v>
      </c>
      <c r="J18">
        <v>225.2775</v>
      </c>
      <c r="K18" s="1">
        <v>43470</v>
      </c>
      <c r="L18" s="2">
        <v>0.72847222222222219</v>
      </c>
      <c r="M18" t="s">
        <v>23</v>
      </c>
      <c r="N18">
        <v>214.55</v>
      </c>
      <c r="O18">
        <v>4.7619047620000003</v>
      </c>
      <c r="P18">
        <v>10.727499999999999</v>
      </c>
      <c r="Q18">
        <v>6.1</v>
      </c>
      <c r="R18" s="3">
        <f t="shared" si="0"/>
        <v>43470.728472222225</v>
      </c>
      <c r="S18">
        <f t="shared" si="3"/>
        <v>84.000000001396984</v>
      </c>
      <c r="T18">
        <f t="shared" si="2"/>
        <v>84</v>
      </c>
    </row>
    <row r="19" spans="1:20" hidden="1">
      <c r="A19" t="s">
        <v>318</v>
      </c>
      <c r="B19" t="s">
        <v>18</v>
      </c>
      <c r="C19" t="s">
        <v>19</v>
      </c>
      <c r="D19" t="s">
        <v>27</v>
      </c>
      <c r="E19" t="s">
        <v>21</v>
      </c>
      <c r="F19" t="s">
        <v>35</v>
      </c>
      <c r="G19">
        <v>15.34</v>
      </c>
      <c r="H19">
        <v>1</v>
      </c>
      <c r="I19">
        <v>0.76700000000000002</v>
      </c>
      <c r="J19">
        <v>16.106999999999999</v>
      </c>
      <c r="K19" s="1">
        <v>43471</v>
      </c>
      <c r="L19" s="2">
        <v>0.46458333333333335</v>
      </c>
      <c r="M19" t="s">
        <v>29</v>
      </c>
      <c r="N19">
        <v>15.34</v>
      </c>
      <c r="O19">
        <v>4.7619047620000003</v>
      </c>
      <c r="P19">
        <v>0.76700000000000002</v>
      </c>
      <c r="Q19">
        <v>6.5</v>
      </c>
      <c r="R19" s="3">
        <f t="shared" si="0"/>
        <v>43471.464583333334</v>
      </c>
      <c r="S19" t="str">
        <f t="shared" si="3"/>
        <v/>
      </c>
      <c r="T19" t="str">
        <f t="shared" si="2"/>
        <v/>
      </c>
    </row>
    <row r="20" spans="1:20">
      <c r="A20" t="s">
        <v>290</v>
      </c>
      <c r="B20" t="s">
        <v>18</v>
      </c>
      <c r="C20" t="s">
        <v>19</v>
      </c>
      <c r="D20" t="s">
        <v>20</v>
      </c>
      <c r="E20" t="s">
        <v>177</v>
      </c>
      <c r="F20" t="s">
        <v>31</v>
      </c>
      <c r="G20">
        <v>58.9</v>
      </c>
      <c r="H20">
        <v>8</v>
      </c>
      <c r="I20">
        <v>23.56</v>
      </c>
      <c r="J20">
        <v>494.76</v>
      </c>
      <c r="K20" s="1">
        <v>43471</v>
      </c>
      <c r="L20" s="2">
        <v>0.47430555555555554</v>
      </c>
      <c r="M20" t="s">
        <v>29</v>
      </c>
      <c r="N20">
        <v>471.2</v>
      </c>
      <c r="O20">
        <v>4.7619047620000003</v>
      </c>
      <c r="P20">
        <v>23.56</v>
      </c>
      <c r="Q20">
        <v>8.9</v>
      </c>
      <c r="R20" s="3">
        <f t="shared" si="0"/>
        <v>43471.474305555559</v>
      </c>
      <c r="S20">
        <f t="shared" si="3"/>
        <v>14.00000000372529</v>
      </c>
      <c r="T20">
        <f t="shared" si="2"/>
        <v>14</v>
      </c>
    </row>
    <row r="21" spans="1:20">
      <c r="A21" t="s">
        <v>991</v>
      </c>
      <c r="B21" t="s">
        <v>18</v>
      </c>
      <c r="C21" t="s">
        <v>19</v>
      </c>
      <c r="D21" t="s">
        <v>27</v>
      </c>
      <c r="E21" t="s">
        <v>21</v>
      </c>
      <c r="F21" t="s">
        <v>45</v>
      </c>
      <c r="G21">
        <v>42.57</v>
      </c>
      <c r="H21">
        <v>7</v>
      </c>
      <c r="I21">
        <v>14.8995</v>
      </c>
      <c r="J21">
        <v>312.8895</v>
      </c>
      <c r="K21" s="1">
        <v>43471</v>
      </c>
      <c r="L21" s="2">
        <v>0.49375000000000002</v>
      </c>
      <c r="M21" t="s">
        <v>29</v>
      </c>
      <c r="N21">
        <v>297.99</v>
      </c>
      <c r="O21">
        <v>4.7619047620000003</v>
      </c>
      <c r="P21">
        <v>14.8995</v>
      </c>
      <c r="Q21">
        <v>6.8</v>
      </c>
      <c r="R21" s="3">
        <f t="shared" si="0"/>
        <v>43471.493750000001</v>
      </c>
      <c r="S21">
        <f t="shared" si="3"/>
        <v>27.999999996973202</v>
      </c>
      <c r="T21">
        <f t="shared" si="2"/>
        <v>28</v>
      </c>
    </row>
    <row r="22" spans="1:20">
      <c r="A22" t="s">
        <v>905</v>
      </c>
      <c r="B22" t="s">
        <v>18</v>
      </c>
      <c r="C22" t="s">
        <v>19</v>
      </c>
      <c r="D22" t="s">
        <v>27</v>
      </c>
      <c r="E22" t="s">
        <v>177</v>
      </c>
      <c r="F22" t="s">
        <v>35</v>
      </c>
      <c r="G22">
        <v>64.59</v>
      </c>
      <c r="H22">
        <v>4</v>
      </c>
      <c r="I22">
        <v>12.917999999999999</v>
      </c>
      <c r="J22">
        <v>271.27800000000002</v>
      </c>
      <c r="K22" s="1">
        <v>43471</v>
      </c>
      <c r="L22" s="2">
        <v>0.56597222222222221</v>
      </c>
      <c r="M22" t="s">
        <v>23</v>
      </c>
      <c r="N22">
        <v>258.36</v>
      </c>
      <c r="O22">
        <v>4.7619047620000003</v>
      </c>
      <c r="P22">
        <v>12.917999999999999</v>
      </c>
      <c r="Q22">
        <v>9.3000000000000007</v>
      </c>
      <c r="R22" s="3">
        <f t="shared" si="0"/>
        <v>43471.565972222219</v>
      </c>
      <c r="S22">
        <f t="shared" si="3"/>
        <v>103.99999999324791</v>
      </c>
      <c r="T22">
        <f t="shared" si="2"/>
        <v>104</v>
      </c>
    </row>
    <row r="23" spans="1:20">
      <c r="A23" t="s">
        <v>420</v>
      </c>
      <c r="B23" t="s">
        <v>18</v>
      </c>
      <c r="C23" t="s">
        <v>19</v>
      </c>
      <c r="D23" t="s">
        <v>27</v>
      </c>
      <c r="E23" t="s">
        <v>21</v>
      </c>
      <c r="F23" t="s">
        <v>43</v>
      </c>
      <c r="G23">
        <v>40.94</v>
      </c>
      <c r="H23">
        <v>5</v>
      </c>
      <c r="I23">
        <v>10.234999999999999</v>
      </c>
      <c r="J23">
        <v>214.935</v>
      </c>
      <c r="K23" s="1">
        <v>43471</v>
      </c>
      <c r="L23" s="2">
        <v>0.58194444444444449</v>
      </c>
      <c r="M23" t="s">
        <v>23</v>
      </c>
      <c r="N23">
        <v>204.7</v>
      </c>
      <c r="O23">
        <v>4.7619047620000003</v>
      </c>
      <c r="P23">
        <v>10.234999999999999</v>
      </c>
      <c r="Q23">
        <v>9.9</v>
      </c>
      <c r="R23" s="3">
        <f t="shared" si="0"/>
        <v>43471.581944444442</v>
      </c>
      <c r="S23">
        <f t="shared" si="3"/>
        <v>23.000000001629815</v>
      </c>
      <c r="T23">
        <f t="shared" si="2"/>
        <v>23</v>
      </c>
    </row>
    <row r="24" spans="1:20" hidden="1">
      <c r="A24" t="s">
        <v>308</v>
      </c>
      <c r="B24" t="s">
        <v>18</v>
      </c>
      <c r="C24" t="s">
        <v>19</v>
      </c>
      <c r="D24" t="s">
        <v>20</v>
      </c>
      <c r="E24" t="s">
        <v>21</v>
      </c>
      <c r="F24" t="s">
        <v>31</v>
      </c>
      <c r="G24">
        <v>21.54</v>
      </c>
      <c r="H24">
        <v>9</v>
      </c>
      <c r="I24">
        <v>9.6929999999999996</v>
      </c>
      <c r="J24">
        <v>203.553</v>
      </c>
      <c r="K24" s="1">
        <v>43472</v>
      </c>
      <c r="L24" s="2">
        <v>0.48888888888888887</v>
      </c>
      <c r="M24" t="s">
        <v>32</v>
      </c>
      <c r="N24">
        <v>193.86</v>
      </c>
      <c r="O24">
        <v>4.7619047620000003</v>
      </c>
      <c r="P24">
        <v>9.6929999999999996</v>
      </c>
      <c r="Q24">
        <v>8.8000000000000007</v>
      </c>
      <c r="R24" s="3">
        <f t="shared" si="0"/>
        <v>43472.488888888889</v>
      </c>
      <c r="S24" t="str">
        <f t="shared" si="3"/>
        <v/>
      </c>
      <c r="T24" t="str">
        <f t="shared" si="2"/>
        <v/>
      </c>
    </row>
    <row r="25" spans="1:20">
      <c r="A25" t="s">
        <v>583</v>
      </c>
      <c r="B25" t="s">
        <v>18</v>
      </c>
      <c r="C25" t="s">
        <v>19</v>
      </c>
      <c r="D25" t="s">
        <v>27</v>
      </c>
      <c r="E25" t="s">
        <v>177</v>
      </c>
      <c r="F25" t="s">
        <v>35</v>
      </c>
      <c r="G25">
        <v>60.95</v>
      </c>
      <c r="H25">
        <v>9</v>
      </c>
      <c r="I25">
        <v>27.427499999999998</v>
      </c>
      <c r="J25">
        <v>575.97749999999996</v>
      </c>
      <c r="K25" s="1">
        <v>43472</v>
      </c>
      <c r="L25" s="2">
        <v>0.50555555555555554</v>
      </c>
      <c r="M25" t="s">
        <v>32</v>
      </c>
      <c r="N25">
        <v>548.54999999999995</v>
      </c>
      <c r="O25">
        <v>4.7619047620000003</v>
      </c>
      <c r="P25">
        <v>27.427499999999998</v>
      </c>
      <c r="Q25">
        <v>6</v>
      </c>
      <c r="R25" s="3">
        <f t="shared" si="0"/>
        <v>43472.505555555559</v>
      </c>
      <c r="S25">
        <f t="shared" si="3"/>
        <v>24.000000004889444</v>
      </c>
      <c r="T25">
        <f t="shared" si="2"/>
        <v>24</v>
      </c>
    </row>
    <row r="26" spans="1:20">
      <c r="A26" t="s">
        <v>284</v>
      </c>
      <c r="B26" t="s">
        <v>18</v>
      </c>
      <c r="C26" t="s">
        <v>19</v>
      </c>
      <c r="D26" t="s">
        <v>20</v>
      </c>
      <c r="E26" t="s">
        <v>177</v>
      </c>
      <c r="F26" t="s">
        <v>28</v>
      </c>
      <c r="G26">
        <v>77.72</v>
      </c>
      <c r="H26">
        <v>4</v>
      </c>
      <c r="I26">
        <v>15.544</v>
      </c>
      <c r="J26">
        <v>326.42399999999998</v>
      </c>
      <c r="K26" s="1">
        <v>43472</v>
      </c>
      <c r="L26" s="2">
        <v>0.6743055555555556</v>
      </c>
      <c r="M26" t="s">
        <v>32</v>
      </c>
      <c r="N26">
        <v>310.88</v>
      </c>
      <c r="O26">
        <v>4.7619047620000003</v>
      </c>
      <c r="P26">
        <v>15.544</v>
      </c>
      <c r="Q26">
        <v>8.8000000000000007</v>
      </c>
      <c r="R26" s="3">
        <f t="shared" si="0"/>
        <v>43472.674305555556</v>
      </c>
      <c r="S26">
        <f t="shared" si="3"/>
        <v>242.99999999580905</v>
      </c>
      <c r="T26">
        <f t="shared" si="2"/>
        <v>243</v>
      </c>
    </row>
    <row r="27" spans="1:20" hidden="1">
      <c r="A27" t="s">
        <v>518</v>
      </c>
      <c r="B27" t="s">
        <v>18</v>
      </c>
      <c r="C27" t="s">
        <v>19</v>
      </c>
      <c r="D27" t="s">
        <v>27</v>
      </c>
      <c r="E27" t="s">
        <v>177</v>
      </c>
      <c r="F27" t="s">
        <v>35</v>
      </c>
      <c r="G27">
        <v>37.14</v>
      </c>
      <c r="H27">
        <v>5</v>
      </c>
      <c r="I27">
        <v>9.2850000000000001</v>
      </c>
      <c r="J27">
        <v>194.98500000000001</v>
      </c>
      <c r="K27" s="1">
        <v>43473</v>
      </c>
      <c r="L27" s="2">
        <v>0.54513888888888884</v>
      </c>
      <c r="M27" t="s">
        <v>23</v>
      </c>
      <c r="N27">
        <v>185.7</v>
      </c>
      <c r="O27">
        <v>4.7619047620000003</v>
      </c>
      <c r="P27">
        <v>9.2850000000000001</v>
      </c>
      <c r="Q27">
        <v>5</v>
      </c>
      <c r="R27" s="3">
        <f t="shared" si="0"/>
        <v>43473.545138888891</v>
      </c>
      <c r="S27" t="str">
        <f t="shared" si="3"/>
        <v/>
      </c>
      <c r="T27" t="str">
        <f t="shared" si="2"/>
        <v/>
      </c>
    </row>
    <row r="28" spans="1:20">
      <c r="A28" t="s">
        <v>900</v>
      </c>
      <c r="B28" t="s">
        <v>18</v>
      </c>
      <c r="C28" t="s">
        <v>19</v>
      </c>
      <c r="D28" t="s">
        <v>20</v>
      </c>
      <c r="E28" t="s">
        <v>21</v>
      </c>
      <c r="F28" t="s">
        <v>28</v>
      </c>
      <c r="G28">
        <v>79.59</v>
      </c>
      <c r="H28">
        <v>3</v>
      </c>
      <c r="I28">
        <v>11.938499999999999</v>
      </c>
      <c r="J28">
        <v>250.70849999999999</v>
      </c>
      <c r="K28" s="1">
        <v>43473</v>
      </c>
      <c r="L28" s="2">
        <v>0.60416666666666663</v>
      </c>
      <c r="M28" t="s">
        <v>29</v>
      </c>
      <c r="N28">
        <v>238.77</v>
      </c>
      <c r="O28">
        <v>4.7619047620000003</v>
      </c>
      <c r="P28">
        <v>11.938499999999999</v>
      </c>
      <c r="Q28">
        <v>6.6</v>
      </c>
      <c r="R28" s="3">
        <f t="shared" si="0"/>
        <v>43473.604166666664</v>
      </c>
      <c r="S28">
        <f t="shared" si="3"/>
        <v>84.999999994179234</v>
      </c>
      <c r="T28">
        <f t="shared" si="2"/>
        <v>85</v>
      </c>
    </row>
    <row r="29" spans="1:20">
      <c r="A29" t="s">
        <v>843</v>
      </c>
      <c r="B29" t="s">
        <v>18</v>
      </c>
      <c r="C29" t="s">
        <v>19</v>
      </c>
      <c r="D29" t="s">
        <v>27</v>
      </c>
      <c r="E29" t="s">
        <v>21</v>
      </c>
      <c r="F29" t="s">
        <v>28</v>
      </c>
      <c r="G29">
        <v>50.23</v>
      </c>
      <c r="H29">
        <v>4</v>
      </c>
      <c r="I29">
        <v>10.045999999999999</v>
      </c>
      <c r="J29">
        <v>210.96600000000001</v>
      </c>
      <c r="K29" s="1">
        <v>43473</v>
      </c>
      <c r="L29" s="2">
        <v>0.71666666666666667</v>
      </c>
      <c r="M29" t="s">
        <v>29</v>
      </c>
      <c r="N29">
        <v>200.92</v>
      </c>
      <c r="O29">
        <v>4.7619047620000003</v>
      </c>
      <c r="P29">
        <v>10.045999999999999</v>
      </c>
      <c r="Q29">
        <v>9</v>
      </c>
      <c r="R29" s="3">
        <f t="shared" si="0"/>
        <v>43473.716666666667</v>
      </c>
      <c r="S29">
        <f t="shared" si="3"/>
        <v>162.00000000419095</v>
      </c>
      <c r="T29">
        <f t="shared" si="2"/>
        <v>162</v>
      </c>
    </row>
    <row r="30" spans="1:20">
      <c r="A30" t="s">
        <v>897</v>
      </c>
      <c r="B30" t="s">
        <v>18</v>
      </c>
      <c r="C30" t="s">
        <v>19</v>
      </c>
      <c r="D30" t="s">
        <v>20</v>
      </c>
      <c r="E30" t="s">
        <v>177</v>
      </c>
      <c r="F30" t="s">
        <v>35</v>
      </c>
      <c r="G30">
        <v>12.76</v>
      </c>
      <c r="H30">
        <v>2</v>
      </c>
      <c r="I30">
        <v>1.276</v>
      </c>
      <c r="J30">
        <v>26.795999999999999</v>
      </c>
      <c r="K30" s="1">
        <v>43473</v>
      </c>
      <c r="L30" s="2">
        <v>0.75416666666666665</v>
      </c>
      <c r="M30" t="s">
        <v>23</v>
      </c>
      <c r="N30">
        <v>25.52</v>
      </c>
      <c r="O30">
        <v>4.7619047620000003</v>
      </c>
      <c r="P30">
        <v>1.276</v>
      </c>
      <c r="Q30">
        <v>7.8</v>
      </c>
      <c r="R30" s="3">
        <f t="shared" si="0"/>
        <v>43473.754166666666</v>
      </c>
      <c r="S30">
        <f t="shared" si="3"/>
        <v>53.999999997904524</v>
      </c>
      <c r="T30">
        <f t="shared" si="2"/>
        <v>54</v>
      </c>
    </row>
    <row r="31" spans="1:20" hidden="1">
      <c r="A31" t="s">
        <v>872</v>
      </c>
      <c r="B31" t="s">
        <v>18</v>
      </c>
      <c r="C31" t="s">
        <v>19</v>
      </c>
      <c r="D31" t="s">
        <v>20</v>
      </c>
      <c r="E31" t="s">
        <v>177</v>
      </c>
      <c r="F31" t="s">
        <v>45</v>
      </c>
      <c r="G31">
        <v>38.54</v>
      </c>
      <c r="H31">
        <v>5</v>
      </c>
      <c r="I31">
        <v>9.6349999999999998</v>
      </c>
      <c r="J31">
        <v>202.33500000000001</v>
      </c>
      <c r="K31" s="1">
        <v>43474</v>
      </c>
      <c r="L31" s="2">
        <v>0.56527777777777777</v>
      </c>
      <c r="M31" t="s">
        <v>23</v>
      </c>
      <c r="N31">
        <v>192.7</v>
      </c>
      <c r="O31">
        <v>4.7619047620000003</v>
      </c>
      <c r="P31">
        <v>9.6349999999999998</v>
      </c>
      <c r="Q31">
        <v>5.6</v>
      </c>
      <c r="R31" s="3">
        <f t="shared" si="0"/>
        <v>43474.56527777778</v>
      </c>
      <c r="S31" t="str">
        <f t="shared" si="3"/>
        <v/>
      </c>
      <c r="T31" t="str">
        <f t="shared" si="2"/>
        <v/>
      </c>
    </row>
    <row r="32" spans="1:20" hidden="1">
      <c r="A32" t="s">
        <v>333</v>
      </c>
      <c r="B32" t="s">
        <v>18</v>
      </c>
      <c r="C32" t="s">
        <v>19</v>
      </c>
      <c r="D32" t="s">
        <v>20</v>
      </c>
      <c r="E32" t="s">
        <v>177</v>
      </c>
      <c r="F32" t="s">
        <v>31</v>
      </c>
      <c r="G32">
        <v>78.38</v>
      </c>
      <c r="H32">
        <v>6</v>
      </c>
      <c r="I32">
        <v>23.513999999999999</v>
      </c>
      <c r="J32">
        <v>493.79399999999998</v>
      </c>
      <c r="K32" s="1">
        <v>43475</v>
      </c>
      <c r="L32" s="2">
        <v>0.59444444444444444</v>
      </c>
      <c r="M32" t="s">
        <v>23</v>
      </c>
      <c r="N32">
        <v>470.28</v>
      </c>
      <c r="O32">
        <v>4.7619047620000003</v>
      </c>
      <c r="P32">
        <v>23.513999999999999</v>
      </c>
      <c r="Q32">
        <v>5.8</v>
      </c>
      <c r="R32" s="3">
        <f t="shared" si="0"/>
        <v>43475.594444444447</v>
      </c>
      <c r="S32" t="str">
        <f t="shared" si="3"/>
        <v/>
      </c>
      <c r="T32" t="str">
        <f t="shared" si="2"/>
        <v/>
      </c>
    </row>
    <row r="33" spans="1:20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35</v>
      </c>
      <c r="G33">
        <v>21.98</v>
      </c>
      <c r="H33">
        <v>7</v>
      </c>
      <c r="I33">
        <v>7.6929999999999996</v>
      </c>
      <c r="J33">
        <v>161.553</v>
      </c>
      <c r="K33" s="1">
        <v>43475</v>
      </c>
      <c r="L33" s="2">
        <v>0.6958333333333333</v>
      </c>
      <c r="M33" t="s">
        <v>23</v>
      </c>
      <c r="N33">
        <v>153.86000000000001</v>
      </c>
      <c r="O33">
        <v>4.7619047620000003</v>
      </c>
      <c r="P33">
        <v>7.6929999999999996</v>
      </c>
      <c r="Q33">
        <v>5.0999999999999996</v>
      </c>
      <c r="R33" s="3">
        <f t="shared" si="0"/>
        <v>43475.695833333331</v>
      </c>
      <c r="S33">
        <f t="shared" si="3"/>
        <v>145.9999999939464</v>
      </c>
      <c r="T33">
        <f t="shared" si="2"/>
        <v>146</v>
      </c>
    </row>
    <row r="34" spans="1:20">
      <c r="A34" t="s">
        <v>39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36.26</v>
      </c>
      <c r="H34">
        <v>2</v>
      </c>
      <c r="I34">
        <v>3.6259999999999999</v>
      </c>
      <c r="J34">
        <v>76.146000000000001</v>
      </c>
      <c r="K34" s="1">
        <v>43475</v>
      </c>
      <c r="L34" s="2">
        <v>0.71875</v>
      </c>
      <c r="M34" t="s">
        <v>32</v>
      </c>
      <c r="N34">
        <v>72.52</v>
      </c>
      <c r="O34">
        <v>4.7619047620000003</v>
      </c>
      <c r="P34">
        <v>3.6259999999999999</v>
      </c>
      <c r="Q34">
        <v>7.2</v>
      </c>
      <c r="R34" s="3">
        <f t="shared" si="0"/>
        <v>43475.71875</v>
      </c>
      <c r="S34">
        <f t="shared" si="3"/>
        <v>33.000000002793968</v>
      </c>
      <c r="T34">
        <f t="shared" si="2"/>
        <v>33</v>
      </c>
    </row>
    <row r="35" spans="1:20" hidden="1">
      <c r="A35" t="s">
        <v>416</v>
      </c>
      <c r="B35" t="s">
        <v>18</v>
      </c>
      <c r="C35" t="s">
        <v>19</v>
      </c>
      <c r="D35" t="s">
        <v>20</v>
      </c>
      <c r="E35" t="s">
        <v>177</v>
      </c>
      <c r="F35" t="s">
        <v>35</v>
      </c>
      <c r="G35">
        <v>82.33</v>
      </c>
      <c r="H35">
        <v>4</v>
      </c>
      <c r="I35">
        <v>16.466000000000001</v>
      </c>
      <c r="J35">
        <v>345.786</v>
      </c>
      <c r="K35" s="1">
        <v>43476</v>
      </c>
      <c r="L35" s="2">
        <v>0.44236111111111109</v>
      </c>
      <c r="M35" t="s">
        <v>32</v>
      </c>
      <c r="N35">
        <v>329.32</v>
      </c>
      <c r="O35">
        <v>4.7619047620000003</v>
      </c>
      <c r="P35">
        <v>16.466000000000001</v>
      </c>
      <c r="Q35">
        <v>7.5</v>
      </c>
      <c r="R35" s="3">
        <f t="shared" si="0"/>
        <v>43476.442361111112</v>
      </c>
      <c r="S35" t="str">
        <f t="shared" si="3"/>
        <v/>
      </c>
      <c r="T35" t="str">
        <f t="shared" si="2"/>
        <v/>
      </c>
    </row>
    <row r="36" spans="1:20">
      <c r="A36" t="s">
        <v>275</v>
      </c>
      <c r="B36" t="s">
        <v>18</v>
      </c>
      <c r="C36" t="s">
        <v>19</v>
      </c>
      <c r="D36" t="s">
        <v>27</v>
      </c>
      <c r="E36" t="s">
        <v>177</v>
      </c>
      <c r="F36" t="s">
        <v>45</v>
      </c>
      <c r="G36">
        <v>89.69</v>
      </c>
      <c r="H36">
        <v>1</v>
      </c>
      <c r="I36">
        <v>4.4844999999999997</v>
      </c>
      <c r="J36">
        <v>94.174499999999995</v>
      </c>
      <c r="K36" s="1">
        <v>43476</v>
      </c>
      <c r="L36" s="2">
        <v>0.47222222222222221</v>
      </c>
      <c r="M36" t="s">
        <v>23</v>
      </c>
      <c r="N36">
        <v>89.69</v>
      </c>
      <c r="O36">
        <v>4.7619047620000003</v>
      </c>
      <c r="P36">
        <v>4.4844999999999997</v>
      </c>
      <c r="Q36">
        <v>4.9000000000000004</v>
      </c>
      <c r="R36" s="3">
        <f t="shared" si="0"/>
        <v>43476.472222222219</v>
      </c>
      <c r="S36">
        <f t="shared" si="3"/>
        <v>42.999999993480742</v>
      </c>
      <c r="T36">
        <f t="shared" si="2"/>
        <v>43</v>
      </c>
    </row>
    <row r="37" spans="1:20">
      <c r="A37" t="s">
        <v>793</v>
      </c>
      <c r="B37" t="s">
        <v>18</v>
      </c>
      <c r="C37" t="s">
        <v>19</v>
      </c>
      <c r="D37" t="s">
        <v>27</v>
      </c>
      <c r="E37" t="s">
        <v>21</v>
      </c>
      <c r="F37" t="s">
        <v>31</v>
      </c>
      <c r="G37">
        <v>96.52</v>
      </c>
      <c r="H37">
        <v>6</v>
      </c>
      <c r="I37">
        <v>28.956</v>
      </c>
      <c r="J37">
        <v>608.07600000000002</v>
      </c>
      <c r="K37" s="1">
        <v>43476</v>
      </c>
      <c r="L37" s="2">
        <v>0.49444444444444446</v>
      </c>
      <c r="M37" t="s">
        <v>29</v>
      </c>
      <c r="N37">
        <v>579.12</v>
      </c>
      <c r="O37">
        <v>4.7619047620000003</v>
      </c>
      <c r="P37">
        <v>28.956</v>
      </c>
      <c r="Q37">
        <v>4.5</v>
      </c>
      <c r="R37" s="3">
        <f t="shared" si="0"/>
        <v>43476.494444444441</v>
      </c>
      <c r="S37">
        <f t="shared" si="3"/>
        <v>31.999999999534339</v>
      </c>
      <c r="T37">
        <f t="shared" si="2"/>
        <v>32</v>
      </c>
    </row>
    <row r="38" spans="1:20">
      <c r="A38" t="s">
        <v>715</v>
      </c>
      <c r="B38" t="s">
        <v>18</v>
      </c>
      <c r="C38" t="s">
        <v>19</v>
      </c>
      <c r="D38" t="s">
        <v>20</v>
      </c>
      <c r="E38" t="s">
        <v>177</v>
      </c>
      <c r="F38" t="s">
        <v>43</v>
      </c>
      <c r="G38">
        <v>48.5</v>
      </c>
      <c r="H38">
        <v>6</v>
      </c>
      <c r="I38">
        <v>14.55</v>
      </c>
      <c r="J38">
        <v>305.55</v>
      </c>
      <c r="K38" s="1">
        <v>43476</v>
      </c>
      <c r="L38" s="2">
        <v>0.58125000000000004</v>
      </c>
      <c r="M38" t="s">
        <v>23</v>
      </c>
      <c r="N38">
        <v>291</v>
      </c>
      <c r="O38">
        <v>4.7619047620000003</v>
      </c>
      <c r="P38">
        <v>14.55</v>
      </c>
      <c r="Q38">
        <v>9.4</v>
      </c>
      <c r="R38" s="3">
        <f t="shared" si="0"/>
        <v>43476.581250000003</v>
      </c>
      <c r="S38">
        <f t="shared" si="3"/>
        <v>125.00000000931323</v>
      </c>
      <c r="T38">
        <f t="shared" si="2"/>
        <v>125</v>
      </c>
    </row>
    <row r="39" spans="1:20">
      <c r="A39" t="s">
        <v>276</v>
      </c>
      <c r="B39" t="s">
        <v>18</v>
      </c>
      <c r="C39" t="s">
        <v>19</v>
      </c>
      <c r="D39" t="s">
        <v>27</v>
      </c>
      <c r="E39" t="s">
        <v>177</v>
      </c>
      <c r="F39" t="s">
        <v>43</v>
      </c>
      <c r="G39">
        <v>24.94</v>
      </c>
      <c r="H39">
        <v>9</v>
      </c>
      <c r="I39">
        <v>11.223000000000001</v>
      </c>
      <c r="J39">
        <v>235.68299999999999</v>
      </c>
      <c r="K39" s="1">
        <v>43476</v>
      </c>
      <c r="L39" s="2">
        <v>0.7006944444444444</v>
      </c>
      <c r="M39" t="s">
        <v>32</v>
      </c>
      <c r="N39">
        <v>224.46</v>
      </c>
      <c r="O39">
        <v>4.7619047620000003</v>
      </c>
      <c r="P39">
        <v>11.223000000000001</v>
      </c>
      <c r="Q39">
        <v>5.6</v>
      </c>
      <c r="R39" s="3">
        <f t="shared" si="0"/>
        <v>43476.700694444444</v>
      </c>
      <c r="S39">
        <f t="shared" si="3"/>
        <v>171.99999999487773</v>
      </c>
      <c r="T39">
        <f t="shared" si="2"/>
        <v>172</v>
      </c>
    </row>
    <row r="40" spans="1:20">
      <c r="A40" t="s">
        <v>442</v>
      </c>
      <c r="B40" t="s">
        <v>18</v>
      </c>
      <c r="C40" t="s">
        <v>19</v>
      </c>
      <c r="D40" t="s">
        <v>27</v>
      </c>
      <c r="E40" t="s">
        <v>177</v>
      </c>
      <c r="F40" t="s">
        <v>43</v>
      </c>
      <c r="G40">
        <v>13.79</v>
      </c>
      <c r="H40">
        <v>5</v>
      </c>
      <c r="I40">
        <v>3.4474999999999998</v>
      </c>
      <c r="J40">
        <v>72.397499999999994</v>
      </c>
      <c r="K40" s="1">
        <v>43476</v>
      </c>
      <c r="L40" s="2">
        <v>0.79652777777777772</v>
      </c>
      <c r="M40" t="s">
        <v>32</v>
      </c>
      <c r="N40">
        <v>68.95</v>
      </c>
      <c r="O40">
        <v>4.7619047620000003</v>
      </c>
      <c r="P40">
        <v>3.4474999999999998</v>
      </c>
      <c r="Q40">
        <v>7.8</v>
      </c>
      <c r="R40" s="3">
        <f t="shared" si="0"/>
        <v>43476.796527777777</v>
      </c>
      <c r="S40">
        <f t="shared" si="3"/>
        <v>137.99999999930151</v>
      </c>
      <c r="T40">
        <f t="shared" si="2"/>
        <v>138</v>
      </c>
    </row>
    <row r="41" spans="1:20" hidden="1">
      <c r="A41" t="s">
        <v>140</v>
      </c>
      <c r="B41" t="s">
        <v>18</v>
      </c>
      <c r="C41" t="s">
        <v>19</v>
      </c>
      <c r="D41" t="s">
        <v>20</v>
      </c>
      <c r="E41" t="s">
        <v>21</v>
      </c>
      <c r="F41" t="s">
        <v>28</v>
      </c>
      <c r="G41">
        <v>88.67</v>
      </c>
      <c r="H41">
        <v>10</v>
      </c>
      <c r="I41">
        <v>44.335000000000001</v>
      </c>
      <c r="J41">
        <v>931.03499999999997</v>
      </c>
      <c r="K41" s="1">
        <v>43477</v>
      </c>
      <c r="L41" s="2">
        <v>0.61805555555555558</v>
      </c>
      <c r="M41" t="s">
        <v>23</v>
      </c>
      <c r="N41">
        <v>886.7</v>
      </c>
      <c r="O41">
        <v>4.7619047620000003</v>
      </c>
      <c r="P41">
        <v>44.335000000000001</v>
      </c>
      <c r="Q41">
        <v>7.3</v>
      </c>
      <c r="R41" s="3">
        <f t="shared" si="0"/>
        <v>43477.618055555555</v>
      </c>
      <c r="S41" t="str">
        <f t="shared" si="3"/>
        <v/>
      </c>
      <c r="T41" t="str">
        <f t="shared" si="2"/>
        <v/>
      </c>
    </row>
    <row r="42" spans="1:20">
      <c r="A42" t="s">
        <v>112</v>
      </c>
      <c r="B42" t="s">
        <v>18</v>
      </c>
      <c r="C42" t="s">
        <v>19</v>
      </c>
      <c r="D42" t="s">
        <v>20</v>
      </c>
      <c r="E42" t="s">
        <v>21</v>
      </c>
      <c r="F42" t="s">
        <v>45</v>
      </c>
      <c r="G42">
        <v>20.010000000000002</v>
      </c>
      <c r="H42">
        <v>9</v>
      </c>
      <c r="I42">
        <v>9.0045000000000002</v>
      </c>
      <c r="J42">
        <v>189.09450000000001</v>
      </c>
      <c r="K42" s="1">
        <v>43477</v>
      </c>
      <c r="L42" s="2">
        <v>0.65833333333333333</v>
      </c>
      <c r="M42" t="s">
        <v>32</v>
      </c>
      <c r="N42">
        <v>180.09</v>
      </c>
      <c r="O42">
        <v>4.7619047620000003</v>
      </c>
      <c r="P42">
        <v>9.0045000000000002</v>
      </c>
      <c r="Q42">
        <v>5.7</v>
      </c>
      <c r="R42" s="3">
        <f t="shared" si="0"/>
        <v>43477.658333333333</v>
      </c>
      <c r="S42">
        <f t="shared" si="3"/>
        <v>58.000000000465661</v>
      </c>
      <c r="T42">
        <f t="shared" si="2"/>
        <v>58</v>
      </c>
    </row>
    <row r="43" spans="1:20">
      <c r="A43" t="s">
        <v>582</v>
      </c>
      <c r="B43" t="s">
        <v>18</v>
      </c>
      <c r="C43" t="s">
        <v>19</v>
      </c>
      <c r="D43" t="s">
        <v>27</v>
      </c>
      <c r="E43" t="s">
        <v>21</v>
      </c>
      <c r="F43" t="s">
        <v>45</v>
      </c>
      <c r="G43">
        <v>29.42</v>
      </c>
      <c r="H43">
        <v>10</v>
      </c>
      <c r="I43">
        <v>14.71</v>
      </c>
      <c r="J43">
        <v>308.91000000000003</v>
      </c>
      <c r="K43" s="1">
        <v>43477</v>
      </c>
      <c r="L43" s="2">
        <v>0.68263888888888891</v>
      </c>
      <c r="M43" t="s">
        <v>23</v>
      </c>
      <c r="N43">
        <v>294.2</v>
      </c>
      <c r="O43">
        <v>4.7619047620000003</v>
      </c>
      <c r="P43">
        <v>14.71</v>
      </c>
      <c r="Q43">
        <v>8.9</v>
      </c>
      <c r="R43" s="3">
        <f t="shared" si="0"/>
        <v>43477.682638888888</v>
      </c>
      <c r="S43">
        <f t="shared" si="3"/>
        <v>34.999999998835847</v>
      </c>
      <c r="T43">
        <f t="shared" si="2"/>
        <v>35</v>
      </c>
    </row>
    <row r="44" spans="1:20" hidden="1">
      <c r="A44" t="s">
        <v>921</v>
      </c>
      <c r="B44" t="s">
        <v>18</v>
      </c>
      <c r="C44" t="s">
        <v>19</v>
      </c>
      <c r="D44" t="s">
        <v>27</v>
      </c>
      <c r="E44" t="s">
        <v>177</v>
      </c>
      <c r="F44" t="s">
        <v>35</v>
      </c>
      <c r="G44">
        <v>45.58</v>
      </c>
      <c r="H44">
        <v>7</v>
      </c>
      <c r="I44">
        <v>15.952999999999999</v>
      </c>
      <c r="J44">
        <v>335.01299999999998</v>
      </c>
      <c r="K44" s="1">
        <v>43478</v>
      </c>
      <c r="L44" s="2">
        <v>0.41875000000000001</v>
      </c>
      <c r="M44" t="s">
        <v>29</v>
      </c>
      <c r="N44">
        <v>319.06</v>
      </c>
      <c r="O44">
        <v>4.7619047620000003</v>
      </c>
      <c r="P44">
        <v>15.952999999999999</v>
      </c>
      <c r="Q44">
        <v>5</v>
      </c>
      <c r="R44" s="3">
        <f t="shared" si="0"/>
        <v>43478.418749999997</v>
      </c>
      <c r="S44" t="str">
        <f t="shared" si="3"/>
        <v/>
      </c>
      <c r="T44" t="str">
        <f t="shared" si="2"/>
        <v/>
      </c>
    </row>
    <row r="45" spans="1:20">
      <c r="A45" t="s">
        <v>1003</v>
      </c>
      <c r="B45" t="s">
        <v>18</v>
      </c>
      <c r="C45" t="s">
        <v>19</v>
      </c>
      <c r="D45" t="s">
        <v>20</v>
      </c>
      <c r="E45" t="s">
        <v>177</v>
      </c>
      <c r="F45" t="s">
        <v>31</v>
      </c>
      <c r="G45">
        <v>81.010000000000005</v>
      </c>
      <c r="H45">
        <v>3</v>
      </c>
      <c r="I45">
        <v>12.1515</v>
      </c>
      <c r="J45">
        <v>255.1815</v>
      </c>
      <c r="K45" s="1">
        <v>43478</v>
      </c>
      <c r="L45" s="2">
        <v>0.53819444444444442</v>
      </c>
      <c r="M45" t="s">
        <v>32</v>
      </c>
      <c r="N45">
        <v>243.03</v>
      </c>
      <c r="O45">
        <v>4.7619047620000003</v>
      </c>
      <c r="P45">
        <v>12.1515</v>
      </c>
      <c r="Q45">
        <v>9.3000000000000007</v>
      </c>
      <c r="R45" s="3">
        <f t="shared" si="0"/>
        <v>43478.538194444445</v>
      </c>
      <c r="S45">
        <f t="shared" si="3"/>
        <v>172.0000000053551</v>
      </c>
      <c r="T45">
        <f t="shared" si="2"/>
        <v>172</v>
      </c>
    </row>
    <row r="46" spans="1:20">
      <c r="A46" t="s">
        <v>963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39.619999999999997</v>
      </c>
      <c r="H46">
        <v>9</v>
      </c>
      <c r="I46">
        <v>17.829000000000001</v>
      </c>
      <c r="J46">
        <v>374.40899999999999</v>
      </c>
      <c r="K46" s="1">
        <v>43478</v>
      </c>
      <c r="L46" s="2">
        <v>0.74583333333333335</v>
      </c>
      <c r="M46" t="s">
        <v>32</v>
      </c>
      <c r="N46">
        <v>356.58</v>
      </c>
      <c r="O46">
        <v>4.7619047620000003</v>
      </c>
      <c r="P46">
        <v>17.829000000000001</v>
      </c>
      <c r="Q46">
        <v>6.8</v>
      </c>
      <c r="R46" s="3">
        <f t="shared" si="0"/>
        <v>43478.745833333334</v>
      </c>
      <c r="S46">
        <f t="shared" si="3"/>
        <v>299.00000000023283</v>
      </c>
      <c r="T46">
        <f t="shared" si="2"/>
        <v>299</v>
      </c>
    </row>
    <row r="47" spans="1:20">
      <c r="A47" t="s">
        <v>468</v>
      </c>
      <c r="B47" t="s">
        <v>18</v>
      </c>
      <c r="C47" t="s">
        <v>19</v>
      </c>
      <c r="D47" t="s">
        <v>27</v>
      </c>
      <c r="E47" t="s">
        <v>21</v>
      </c>
      <c r="F47" t="s">
        <v>28</v>
      </c>
      <c r="G47">
        <v>23.46</v>
      </c>
      <c r="H47">
        <v>6</v>
      </c>
      <c r="I47">
        <v>7.0380000000000003</v>
      </c>
      <c r="J47">
        <v>147.798</v>
      </c>
      <c r="K47" s="1">
        <v>43478</v>
      </c>
      <c r="L47" s="2">
        <v>0.80138888888888893</v>
      </c>
      <c r="M47" t="s">
        <v>23</v>
      </c>
      <c r="N47">
        <v>140.76</v>
      </c>
      <c r="O47">
        <v>4.7619047620000003</v>
      </c>
      <c r="P47">
        <v>7.0380000000000003</v>
      </c>
      <c r="Q47">
        <v>6.4</v>
      </c>
      <c r="R47" s="3">
        <f t="shared" si="0"/>
        <v>43478.801388888889</v>
      </c>
      <c r="S47">
        <f t="shared" si="3"/>
        <v>79.999999998835847</v>
      </c>
      <c r="T47">
        <f t="shared" si="2"/>
        <v>80</v>
      </c>
    </row>
    <row r="48" spans="1:20" hidden="1">
      <c r="A48" t="s">
        <v>411</v>
      </c>
      <c r="B48" t="s">
        <v>18</v>
      </c>
      <c r="C48" t="s">
        <v>19</v>
      </c>
      <c r="D48" t="s">
        <v>20</v>
      </c>
      <c r="E48" t="s">
        <v>21</v>
      </c>
      <c r="F48" t="s">
        <v>45</v>
      </c>
      <c r="G48">
        <v>96.7</v>
      </c>
      <c r="H48">
        <v>5</v>
      </c>
      <c r="I48">
        <v>24.175000000000001</v>
      </c>
      <c r="J48">
        <v>507.67500000000001</v>
      </c>
      <c r="K48" s="1">
        <v>43479</v>
      </c>
      <c r="L48" s="2">
        <v>0.53611111111111109</v>
      </c>
      <c r="M48" t="s">
        <v>23</v>
      </c>
      <c r="N48">
        <v>483.5</v>
      </c>
      <c r="O48">
        <v>4.7619047620000003</v>
      </c>
      <c r="P48">
        <v>24.175000000000001</v>
      </c>
      <c r="Q48">
        <v>7</v>
      </c>
      <c r="R48" s="3">
        <f t="shared" si="0"/>
        <v>43479.536111111112</v>
      </c>
      <c r="S48" t="str">
        <f t="shared" si="3"/>
        <v/>
      </c>
      <c r="T48" t="str">
        <f t="shared" si="2"/>
        <v/>
      </c>
    </row>
    <row r="49" spans="1:20">
      <c r="A49" t="s">
        <v>706</v>
      </c>
      <c r="B49" t="s">
        <v>18</v>
      </c>
      <c r="C49" t="s">
        <v>19</v>
      </c>
      <c r="D49" t="s">
        <v>20</v>
      </c>
      <c r="E49" t="s">
        <v>177</v>
      </c>
      <c r="F49" t="s">
        <v>45</v>
      </c>
      <c r="G49">
        <v>56.04</v>
      </c>
      <c r="H49">
        <v>10</v>
      </c>
      <c r="I49">
        <v>28.02</v>
      </c>
      <c r="J49">
        <v>588.41999999999996</v>
      </c>
      <c r="K49" s="1">
        <v>43479</v>
      </c>
      <c r="L49" s="2">
        <v>0.8125</v>
      </c>
      <c r="M49" t="s">
        <v>23</v>
      </c>
      <c r="N49">
        <v>560.4</v>
      </c>
      <c r="O49">
        <v>4.7619047620000003</v>
      </c>
      <c r="P49">
        <v>28.02</v>
      </c>
      <c r="Q49">
        <v>4.4000000000000004</v>
      </c>
      <c r="R49" s="3">
        <f t="shared" si="0"/>
        <v>43479.8125</v>
      </c>
      <c r="S49">
        <f t="shared" si="3"/>
        <v>397.99999999813735</v>
      </c>
      <c r="T49">
        <f t="shared" si="2"/>
        <v>398</v>
      </c>
    </row>
    <row r="50" spans="1:20" hidden="1">
      <c r="A50" t="s">
        <v>480</v>
      </c>
      <c r="B50" t="s">
        <v>18</v>
      </c>
      <c r="C50" t="s">
        <v>19</v>
      </c>
      <c r="D50" t="s">
        <v>27</v>
      </c>
      <c r="E50" t="s">
        <v>21</v>
      </c>
      <c r="F50" t="s">
        <v>35</v>
      </c>
      <c r="G50">
        <v>19.100000000000001</v>
      </c>
      <c r="H50">
        <v>7</v>
      </c>
      <c r="I50">
        <v>6.6849999999999996</v>
      </c>
      <c r="J50">
        <v>140.38499999999999</v>
      </c>
      <c r="K50" s="1">
        <v>43480</v>
      </c>
      <c r="L50" s="2">
        <v>0.4465277777777778</v>
      </c>
      <c r="M50" t="s">
        <v>29</v>
      </c>
      <c r="N50">
        <v>133.69999999999999</v>
      </c>
      <c r="O50">
        <v>4.7619047620000003</v>
      </c>
      <c r="P50">
        <v>6.6849999999999996</v>
      </c>
      <c r="Q50">
        <v>9.6999999999999993</v>
      </c>
      <c r="R50" s="3">
        <f t="shared" si="0"/>
        <v>43480.446527777778</v>
      </c>
      <c r="S50" t="str">
        <f t="shared" si="3"/>
        <v/>
      </c>
      <c r="T50" t="str">
        <f t="shared" si="2"/>
        <v/>
      </c>
    </row>
    <row r="51" spans="1:20">
      <c r="A51" t="s">
        <v>668</v>
      </c>
      <c r="B51" t="s">
        <v>18</v>
      </c>
      <c r="C51" t="s">
        <v>19</v>
      </c>
      <c r="D51" t="s">
        <v>20</v>
      </c>
      <c r="E51" t="s">
        <v>177</v>
      </c>
      <c r="F51" t="s">
        <v>43</v>
      </c>
      <c r="G51">
        <v>83.77</v>
      </c>
      <c r="H51">
        <v>2</v>
      </c>
      <c r="I51">
        <v>8.3770000000000007</v>
      </c>
      <c r="J51">
        <v>175.917</v>
      </c>
      <c r="K51" s="1">
        <v>43480</v>
      </c>
      <c r="L51" s="2">
        <v>0.45416666666666666</v>
      </c>
      <c r="M51" t="s">
        <v>32</v>
      </c>
      <c r="N51">
        <v>167.54</v>
      </c>
      <c r="O51">
        <v>4.7619047620000003</v>
      </c>
      <c r="P51">
        <v>8.3770000000000007</v>
      </c>
      <c r="Q51">
        <v>7</v>
      </c>
      <c r="R51" s="3">
        <f t="shared" si="0"/>
        <v>43480.45416666667</v>
      </c>
      <c r="S51">
        <f t="shared" si="3"/>
        <v>11.000000004423782</v>
      </c>
      <c r="T51">
        <f t="shared" si="2"/>
        <v>11</v>
      </c>
    </row>
    <row r="52" spans="1:20">
      <c r="A52" t="s">
        <v>478</v>
      </c>
      <c r="B52" t="s">
        <v>18</v>
      </c>
      <c r="C52" t="s">
        <v>19</v>
      </c>
      <c r="D52" t="s">
        <v>20</v>
      </c>
      <c r="E52" t="s">
        <v>21</v>
      </c>
      <c r="F52" t="s">
        <v>31</v>
      </c>
      <c r="G52">
        <v>89.21</v>
      </c>
      <c r="H52">
        <v>9</v>
      </c>
      <c r="I52">
        <v>40.144500000000001</v>
      </c>
      <c r="J52">
        <v>843.03449999999998</v>
      </c>
      <c r="K52" s="1">
        <v>43480</v>
      </c>
      <c r="L52" s="2">
        <v>0.65416666666666667</v>
      </c>
      <c r="M52" t="s">
        <v>32</v>
      </c>
      <c r="N52">
        <v>802.89</v>
      </c>
      <c r="O52">
        <v>4.7619047620000003</v>
      </c>
      <c r="P52">
        <v>40.144500000000001</v>
      </c>
      <c r="Q52">
        <v>6.5</v>
      </c>
      <c r="R52" s="3">
        <f t="shared" si="0"/>
        <v>43480.654166666667</v>
      </c>
      <c r="S52">
        <f t="shared" si="3"/>
        <v>287.99999999580905</v>
      </c>
      <c r="T52">
        <f t="shared" si="2"/>
        <v>288</v>
      </c>
    </row>
    <row r="53" spans="1:20">
      <c r="A53" t="s">
        <v>72</v>
      </c>
      <c r="B53" t="s">
        <v>18</v>
      </c>
      <c r="C53" t="s">
        <v>19</v>
      </c>
      <c r="D53" t="s">
        <v>20</v>
      </c>
      <c r="E53" t="s">
        <v>21</v>
      </c>
      <c r="F53" t="s">
        <v>28</v>
      </c>
      <c r="G53">
        <v>60.88</v>
      </c>
      <c r="H53">
        <v>9</v>
      </c>
      <c r="I53">
        <v>27.396000000000001</v>
      </c>
      <c r="J53">
        <v>575.31600000000003</v>
      </c>
      <c r="K53" s="1">
        <v>43480</v>
      </c>
      <c r="L53" s="2">
        <v>0.72013888888888888</v>
      </c>
      <c r="M53" t="s">
        <v>23</v>
      </c>
      <c r="N53">
        <v>547.91999999999996</v>
      </c>
      <c r="O53">
        <v>4.7619047620000003</v>
      </c>
      <c r="P53">
        <v>27.396000000000001</v>
      </c>
      <c r="Q53">
        <v>4.7</v>
      </c>
      <c r="R53" s="3">
        <f t="shared" si="0"/>
        <v>43480.720138888886</v>
      </c>
      <c r="S53">
        <f t="shared" si="3"/>
        <v>94.999999995343387</v>
      </c>
      <c r="T53">
        <f t="shared" si="2"/>
        <v>95</v>
      </c>
    </row>
    <row r="54" spans="1:20">
      <c r="A54" t="s">
        <v>805</v>
      </c>
      <c r="B54" t="s">
        <v>18</v>
      </c>
      <c r="C54" t="s">
        <v>19</v>
      </c>
      <c r="D54" t="s">
        <v>27</v>
      </c>
      <c r="E54" t="s">
        <v>21</v>
      </c>
      <c r="F54" t="s">
        <v>31</v>
      </c>
      <c r="G54">
        <v>11.43</v>
      </c>
      <c r="H54">
        <v>6</v>
      </c>
      <c r="I54">
        <v>3.4289999999999998</v>
      </c>
      <c r="J54">
        <v>72.009</v>
      </c>
      <c r="K54" s="1">
        <v>43480</v>
      </c>
      <c r="L54" s="2">
        <v>0.72499999999999998</v>
      </c>
      <c r="M54" t="s">
        <v>29</v>
      </c>
      <c r="N54">
        <v>68.58</v>
      </c>
      <c r="O54">
        <v>4.7619047620000003</v>
      </c>
      <c r="P54">
        <v>3.4289999999999998</v>
      </c>
      <c r="Q54">
        <v>7.7</v>
      </c>
      <c r="R54" s="3">
        <f t="shared" si="0"/>
        <v>43480.724999999999</v>
      </c>
      <c r="S54">
        <f t="shared" si="3"/>
        <v>7.0000000018626451</v>
      </c>
      <c r="T54">
        <f t="shared" si="2"/>
        <v>7</v>
      </c>
    </row>
    <row r="55" spans="1:20" hidden="1">
      <c r="A55" t="s">
        <v>723</v>
      </c>
      <c r="B55" t="s">
        <v>18</v>
      </c>
      <c r="C55" t="s">
        <v>19</v>
      </c>
      <c r="D55" t="s">
        <v>20</v>
      </c>
      <c r="E55" t="s">
        <v>177</v>
      </c>
      <c r="F55" t="s">
        <v>31</v>
      </c>
      <c r="G55">
        <v>63.56</v>
      </c>
      <c r="H55">
        <v>10</v>
      </c>
      <c r="I55">
        <v>31.78</v>
      </c>
      <c r="J55">
        <v>667.38</v>
      </c>
      <c r="K55" s="1">
        <v>43481</v>
      </c>
      <c r="L55" s="2">
        <v>0.74930555555555556</v>
      </c>
      <c r="M55" t="s">
        <v>29</v>
      </c>
      <c r="N55">
        <v>635.6</v>
      </c>
      <c r="O55">
        <v>4.7619047620000003</v>
      </c>
      <c r="P55">
        <v>31.78</v>
      </c>
      <c r="Q55">
        <v>4.3</v>
      </c>
      <c r="R55" s="3">
        <f t="shared" si="0"/>
        <v>43481.749305555553</v>
      </c>
      <c r="S55" t="str">
        <f t="shared" si="3"/>
        <v/>
      </c>
      <c r="T55" t="str">
        <f t="shared" si="2"/>
        <v/>
      </c>
    </row>
    <row r="56" spans="1:20">
      <c r="A56" t="s">
        <v>842</v>
      </c>
      <c r="B56" t="s">
        <v>18</v>
      </c>
      <c r="C56" t="s">
        <v>19</v>
      </c>
      <c r="D56" t="s">
        <v>27</v>
      </c>
      <c r="E56" t="s">
        <v>21</v>
      </c>
      <c r="F56" t="s">
        <v>35</v>
      </c>
      <c r="G56">
        <v>93.18</v>
      </c>
      <c r="H56">
        <v>2</v>
      </c>
      <c r="I56">
        <v>9.3179999999999996</v>
      </c>
      <c r="J56">
        <v>195.678</v>
      </c>
      <c r="K56" s="1">
        <v>43481</v>
      </c>
      <c r="L56" s="2">
        <v>0.77847222222222223</v>
      </c>
      <c r="M56" t="s">
        <v>32</v>
      </c>
      <c r="N56">
        <v>186.36</v>
      </c>
      <c r="O56">
        <v>4.7619047620000003</v>
      </c>
      <c r="P56">
        <v>9.3179999999999996</v>
      </c>
      <c r="Q56">
        <v>8.5</v>
      </c>
      <c r="R56" s="3">
        <f t="shared" si="0"/>
        <v>43481.77847222222</v>
      </c>
      <c r="S56">
        <f t="shared" si="3"/>
        <v>42.000000000698492</v>
      </c>
      <c r="T56">
        <f t="shared" si="2"/>
        <v>42</v>
      </c>
    </row>
    <row r="57" spans="1:20" hidden="1">
      <c r="A57" t="s">
        <v>360</v>
      </c>
      <c r="B57" t="s">
        <v>18</v>
      </c>
      <c r="C57" t="s">
        <v>19</v>
      </c>
      <c r="D57" t="s">
        <v>27</v>
      </c>
      <c r="E57" t="s">
        <v>177</v>
      </c>
      <c r="F57" t="s">
        <v>31</v>
      </c>
      <c r="G57">
        <v>21.52</v>
      </c>
      <c r="H57">
        <v>6</v>
      </c>
      <c r="I57">
        <v>6.4560000000000004</v>
      </c>
      <c r="J57">
        <v>135.57599999999999</v>
      </c>
      <c r="K57" s="1">
        <v>43482</v>
      </c>
      <c r="L57" s="2">
        <v>0.53333333333333333</v>
      </c>
      <c r="M57" t="s">
        <v>32</v>
      </c>
      <c r="N57">
        <v>129.12</v>
      </c>
      <c r="O57">
        <v>4.7619047620000003</v>
      </c>
      <c r="P57">
        <v>6.4560000000000004</v>
      </c>
      <c r="Q57">
        <v>9.4</v>
      </c>
      <c r="R57" s="3">
        <f t="shared" si="0"/>
        <v>43482.533333333333</v>
      </c>
      <c r="S57" t="str">
        <f t="shared" si="3"/>
        <v/>
      </c>
      <c r="T57" t="str">
        <f t="shared" si="2"/>
        <v/>
      </c>
    </row>
    <row r="58" spans="1:20">
      <c r="A58" t="s">
        <v>601</v>
      </c>
      <c r="B58" t="s">
        <v>18</v>
      </c>
      <c r="C58" t="s">
        <v>19</v>
      </c>
      <c r="D58" t="s">
        <v>27</v>
      </c>
      <c r="E58" t="s">
        <v>21</v>
      </c>
      <c r="F58" t="s">
        <v>43</v>
      </c>
      <c r="G58">
        <v>81.209999999999994</v>
      </c>
      <c r="H58">
        <v>10</v>
      </c>
      <c r="I58">
        <v>40.604999999999997</v>
      </c>
      <c r="J58">
        <v>852.70500000000004</v>
      </c>
      <c r="K58" s="1">
        <v>43482</v>
      </c>
      <c r="L58" s="2">
        <v>0.54236111111111107</v>
      </c>
      <c r="M58" t="s">
        <v>32</v>
      </c>
      <c r="N58">
        <v>812.1</v>
      </c>
      <c r="O58">
        <v>4.7619047620000003</v>
      </c>
      <c r="P58">
        <v>40.604999999999997</v>
      </c>
      <c r="Q58">
        <v>6.3</v>
      </c>
      <c r="R58" s="3">
        <f t="shared" si="0"/>
        <v>43482.542361111111</v>
      </c>
      <c r="S58">
        <f t="shared" si="3"/>
        <v>13.000000000465661</v>
      </c>
      <c r="T58">
        <f t="shared" si="2"/>
        <v>13</v>
      </c>
    </row>
    <row r="59" spans="1:20">
      <c r="A59" t="s">
        <v>825</v>
      </c>
      <c r="B59" t="s">
        <v>18</v>
      </c>
      <c r="C59" t="s">
        <v>19</v>
      </c>
      <c r="D59" t="s">
        <v>27</v>
      </c>
      <c r="E59" t="s">
        <v>177</v>
      </c>
      <c r="F59" t="s">
        <v>35</v>
      </c>
      <c r="G59">
        <v>58.91</v>
      </c>
      <c r="H59">
        <v>7</v>
      </c>
      <c r="I59">
        <v>20.618500000000001</v>
      </c>
      <c r="J59">
        <v>432.98849999999999</v>
      </c>
      <c r="K59" s="1">
        <v>43482</v>
      </c>
      <c r="L59" s="2">
        <v>0.63541666666666663</v>
      </c>
      <c r="M59" t="s">
        <v>23</v>
      </c>
      <c r="N59">
        <v>412.37</v>
      </c>
      <c r="O59">
        <v>4.7619047620000003</v>
      </c>
      <c r="P59">
        <v>20.618500000000001</v>
      </c>
      <c r="Q59">
        <v>9.6999999999999993</v>
      </c>
      <c r="R59" s="3">
        <f t="shared" si="0"/>
        <v>43482.635416666664</v>
      </c>
      <c r="S59">
        <f t="shared" si="3"/>
        <v>133.99999999674037</v>
      </c>
      <c r="T59">
        <f t="shared" si="2"/>
        <v>134</v>
      </c>
    </row>
    <row r="60" spans="1:20">
      <c r="A60" t="s">
        <v>745</v>
      </c>
      <c r="B60" t="s">
        <v>18</v>
      </c>
      <c r="C60" t="s">
        <v>19</v>
      </c>
      <c r="D60" t="s">
        <v>27</v>
      </c>
      <c r="E60" t="s">
        <v>177</v>
      </c>
      <c r="F60" t="s">
        <v>35</v>
      </c>
      <c r="G60">
        <v>25.7</v>
      </c>
      <c r="H60">
        <v>3</v>
      </c>
      <c r="I60">
        <v>3.855</v>
      </c>
      <c r="J60">
        <v>80.954999999999998</v>
      </c>
      <c r="K60" s="1">
        <v>43482</v>
      </c>
      <c r="L60" s="2">
        <v>0.74930555555555556</v>
      </c>
      <c r="M60" t="s">
        <v>23</v>
      </c>
      <c r="N60">
        <v>77.099999999999994</v>
      </c>
      <c r="O60">
        <v>4.7619047620000003</v>
      </c>
      <c r="P60">
        <v>3.855</v>
      </c>
      <c r="Q60">
        <v>6.1</v>
      </c>
      <c r="R60" s="3">
        <f t="shared" si="0"/>
        <v>43482.749305555553</v>
      </c>
      <c r="S60">
        <f t="shared" si="3"/>
        <v>164.00000000023283</v>
      </c>
      <c r="T60">
        <f t="shared" si="2"/>
        <v>164</v>
      </c>
    </row>
    <row r="61" spans="1:20" hidden="1">
      <c r="A61" t="s">
        <v>693</v>
      </c>
      <c r="B61" t="s">
        <v>18</v>
      </c>
      <c r="C61" t="s">
        <v>19</v>
      </c>
      <c r="D61" t="s">
        <v>20</v>
      </c>
      <c r="E61" t="s">
        <v>21</v>
      </c>
      <c r="F61" t="s">
        <v>45</v>
      </c>
      <c r="G61">
        <v>88.15</v>
      </c>
      <c r="H61">
        <v>3</v>
      </c>
      <c r="I61">
        <v>13.2225</v>
      </c>
      <c r="J61">
        <v>277.67250000000001</v>
      </c>
      <c r="K61" s="1">
        <v>43483</v>
      </c>
      <c r="L61" s="2">
        <v>0.42430555555555555</v>
      </c>
      <c r="M61" t="s">
        <v>23</v>
      </c>
      <c r="N61">
        <v>264.45</v>
      </c>
      <c r="O61">
        <v>4.7619047620000003</v>
      </c>
      <c r="P61">
        <v>13.2225</v>
      </c>
      <c r="Q61">
        <v>7.9</v>
      </c>
      <c r="R61" s="3">
        <f t="shared" si="0"/>
        <v>43483.424305555556</v>
      </c>
      <c r="S61" t="str">
        <f t="shared" si="3"/>
        <v/>
      </c>
      <c r="T61" t="str">
        <f t="shared" si="2"/>
        <v/>
      </c>
    </row>
    <row r="62" spans="1:20">
      <c r="A62" t="s">
        <v>909</v>
      </c>
      <c r="B62" t="s">
        <v>18</v>
      </c>
      <c r="C62" t="s">
        <v>19</v>
      </c>
      <c r="D62" t="s">
        <v>20</v>
      </c>
      <c r="E62" t="s">
        <v>177</v>
      </c>
      <c r="F62" t="s">
        <v>35</v>
      </c>
      <c r="G62">
        <v>89.06</v>
      </c>
      <c r="H62">
        <v>6</v>
      </c>
      <c r="I62">
        <v>26.718</v>
      </c>
      <c r="J62">
        <v>561.07799999999997</v>
      </c>
      <c r="K62" s="1">
        <v>43483</v>
      </c>
      <c r="L62" s="2">
        <v>0.72638888888888886</v>
      </c>
      <c r="M62" t="s">
        <v>29</v>
      </c>
      <c r="N62">
        <v>534.36</v>
      </c>
      <c r="O62">
        <v>4.7619047620000003</v>
      </c>
      <c r="P62">
        <v>26.718</v>
      </c>
      <c r="Q62">
        <v>9.9</v>
      </c>
      <c r="R62" s="3">
        <f t="shared" si="0"/>
        <v>43483.726388888892</v>
      </c>
      <c r="S62">
        <f t="shared" si="3"/>
        <v>435.00000000349246</v>
      </c>
      <c r="T62">
        <f t="shared" si="2"/>
        <v>435</v>
      </c>
    </row>
    <row r="63" spans="1:20">
      <c r="A63" t="s">
        <v>681</v>
      </c>
      <c r="B63" t="s">
        <v>18</v>
      </c>
      <c r="C63" t="s">
        <v>19</v>
      </c>
      <c r="D63" t="s">
        <v>20</v>
      </c>
      <c r="E63" t="s">
        <v>177</v>
      </c>
      <c r="F63" t="s">
        <v>31</v>
      </c>
      <c r="G63">
        <v>19.36</v>
      </c>
      <c r="H63">
        <v>9</v>
      </c>
      <c r="I63">
        <v>8.7119999999999997</v>
      </c>
      <c r="J63">
        <v>182.952</v>
      </c>
      <c r="K63" s="1">
        <v>43483</v>
      </c>
      <c r="L63" s="2">
        <v>0.77986111111111112</v>
      </c>
      <c r="M63" t="s">
        <v>23</v>
      </c>
      <c r="N63">
        <v>174.24</v>
      </c>
      <c r="O63">
        <v>4.7619047620000003</v>
      </c>
      <c r="P63">
        <v>8.7119999999999997</v>
      </c>
      <c r="Q63">
        <v>8.6999999999999993</v>
      </c>
      <c r="R63" s="3">
        <f t="shared" si="0"/>
        <v>43483.779861111114</v>
      </c>
      <c r="S63">
        <f t="shared" si="3"/>
        <v>76.999999999534339</v>
      </c>
      <c r="T63">
        <f t="shared" si="2"/>
        <v>77</v>
      </c>
    </row>
    <row r="64" spans="1:20">
      <c r="A64" t="s">
        <v>171</v>
      </c>
      <c r="B64" t="s">
        <v>18</v>
      </c>
      <c r="C64" t="s">
        <v>19</v>
      </c>
      <c r="D64" t="s">
        <v>27</v>
      </c>
      <c r="E64" t="s">
        <v>21</v>
      </c>
      <c r="F64" t="s">
        <v>28</v>
      </c>
      <c r="G64">
        <v>26.31</v>
      </c>
      <c r="H64">
        <v>5</v>
      </c>
      <c r="I64">
        <v>6.5774999999999997</v>
      </c>
      <c r="J64">
        <v>138.1275</v>
      </c>
      <c r="K64" s="1">
        <v>43483</v>
      </c>
      <c r="L64" s="2">
        <v>0.87430555555555556</v>
      </c>
      <c r="M64" t="s">
        <v>32</v>
      </c>
      <c r="N64">
        <v>131.55000000000001</v>
      </c>
      <c r="O64">
        <v>4.7619047620000003</v>
      </c>
      <c r="P64">
        <v>6.5774999999999997</v>
      </c>
      <c r="Q64">
        <v>8.8000000000000007</v>
      </c>
      <c r="R64" s="3">
        <f t="shared" si="0"/>
        <v>43483.874305555553</v>
      </c>
      <c r="S64">
        <f t="shared" si="3"/>
        <v>135.99999999278225</v>
      </c>
      <c r="T64">
        <f t="shared" si="2"/>
        <v>136</v>
      </c>
    </row>
    <row r="65" spans="1:20" hidden="1">
      <c r="A65" t="s">
        <v>753</v>
      </c>
      <c r="B65" t="s">
        <v>18</v>
      </c>
      <c r="C65" t="s">
        <v>19</v>
      </c>
      <c r="D65" t="s">
        <v>20</v>
      </c>
      <c r="E65" t="s">
        <v>177</v>
      </c>
      <c r="F65" t="s">
        <v>28</v>
      </c>
      <c r="G65">
        <v>11.94</v>
      </c>
      <c r="H65">
        <v>3</v>
      </c>
      <c r="I65">
        <v>1.7909999999999999</v>
      </c>
      <c r="J65">
        <v>37.610999999999997</v>
      </c>
      <c r="K65" s="1">
        <v>43484</v>
      </c>
      <c r="L65" s="2">
        <v>0.53263888888888888</v>
      </c>
      <c r="M65" t="s">
        <v>32</v>
      </c>
      <c r="N65">
        <v>35.82</v>
      </c>
      <c r="O65">
        <v>4.7619047620000003</v>
      </c>
      <c r="P65">
        <v>1.7909999999999999</v>
      </c>
      <c r="Q65">
        <v>8.1</v>
      </c>
      <c r="R65" s="3">
        <f t="shared" si="0"/>
        <v>43484.532638888886</v>
      </c>
      <c r="S65" t="str">
        <f t="shared" si="3"/>
        <v/>
      </c>
      <c r="T65" t="str">
        <f t="shared" si="2"/>
        <v/>
      </c>
    </row>
    <row r="66" spans="1:20">
      <c r="A66" t="s">
        <v>885</v>
      </c>
      <c r="B66" t="s">
        <v>18</v>
      </c>
      <c r="C66" t="s">
        <v>19</v>
      </c>
      <c r="D66" t="s">
        <v>27</v>
      </c>
      <c r="E66" t="s">
        <v>21</v>
      </c>
      <c r="F66" t="s">
        <v>45</v>
      </c>
      <c r="G66">
        <v>99.1</v>
      </c>
      <c r="H66">
        <v>6</v>
      </c>
      <c r="I66">
        <v>29.73</v>
      </c>
      <c r="J66">
        <v>624.33000000000004</v>
      </c>
      <c r="K66" s="1">
        <v>43484</v>
      </c>
      <c r="L66" s="2">
        <v>0.5493055555555556</v>
      </c>
      <c r="M66" t="s">
        <v>29</v>
      </c>
      <c r="N66">
        <v>594.6</v>
      </c>
      <c r="O66">
        <v>4.7619047620000003</v>
      </c>
      <c r="P66">
        <v>29.73</v>
      </c>
      <c r="Q66">
        <v>4.2</v>
      </c>
      <c r="R66" s="3">
        <f t="shared" ref="R66:R129" si="4">K66+L66</f>
        <v>43484.549305555556</v>
      </c>
      <c r="S66">
        <f t="shared" si="3"/>
        <v>24.000000004889444</v>
      </c>
      <c r="T66">
        <f t="shared" si="2"/>
        <v>24</v>
      </c>
    </row>
    <row r="67" spans="1:20">
      <c r="A67" t="s">
        <v>666</v>
      </c>
      <c r="B67" t="s">
        <v>18</v>
      </c>
      <c r="C67" t="s">
        <v>19</v>
      </c>
      <c r="D67" t="s">
        <v>27</v>
      </c>
      <c r="E67" t="s">
        <v>177</v>
      </c>
      <c r="F67" t="s">
        <v>35</v>
      </c>
      <c r="G67">
        <v>64.19</v>
      </c>
      <c r="H67">
        <v>10</v>
      </c>
      <c r="I67">
        <v>32.094999999999999</v>
      </c>
      <c r="J67">
        <v>673.995</v>
      </c>
      <c r="K67" s="1">
        <v>43484</v>
      </c>
      <c r="L67" s="2">
        <v>0.58888888888888891</v>
      </c>
      <c r="M67" t="s">
        <v>32</v>
      </c>
      <c r="N67">
        <v>641.9</v>
      </c>
      <c r="O67">
        <v>4.7619047620000003</v>
      </c>
      <c r="P67">
        <v>32.094999999999999</v>
      </c>
      <c r="Q67">
        <v>6.7</v>
      </c>
      <c r="R67" s="3">
        <f t="shared" si="4"/>
        <v>43484.588888888888</v>
      </c>
      <c r="S67">
        <f t="shared" si="3"/>
        <v>56.999999997206032</v>
      </c>
      <c r="T67">
        <f t="shared" ref="T67:T130" si="5">IF(S67="","",ROUND(S67,2))</f>
        <v>57</v>
      </c>
    </row>
    <row r="68" spans="1:20">
      <c r="A68" t="s">
        <v>441</v>
      </c>
      <c r="B68" t="s">
        <v>18</v>
      </c>
      <c r="C68" t="s">
        <v>19</v>
      </c>
      <c r="D68" t="s">
        <v>20</v>
      </c>
      <c r="E68" t="s">
        <v>177</v>
      </c>
      <c r="F68" t="s">
        <v>35</v>
      </c>
      <c r="G68">
        <v>67.260000000000005</v>
      </c>
      <c r="H68">
        <v>4</v>
      </c>
      <c r="I68">
        <v>13.452</v>
      </c>
      <c r="J68">
        <v>282.49200000000002</v>
      </c>
      <c r="K68" s="1">
        <v>43484</v>
      </c>
      <c r="L68" s="2">
        <v>0.64444444444444449</v>
      </c>
      <c r="M68" t="s">
        <v>32</v>
      </c>
      <c r="N68">
        <v>269.04000000000002</v>
      </c>
      <c r="O68">
        <v>4.7619047620000003</v>
      </c>
      <c r="P68">
        <v>13.452</v>
      </c>
      <c r="Q68">
        <v>8</v>
      </c>
      <c r="R68" s="3">
        <f t="shared" si="4"/>
        <v>43484.644444444442</v>
      </c>
      <c r="S68">
        <f t="shared" si="3"/>
        <v>79.999999998835847</v>
      </c>
      <c r="T68">
        <f t="shared" si="5"/>
        <v>80</v>
      </c>
    </row>
    <row r="69" spans="1:20">
      <c r="A69" t="s">
        <v>204</v>
      </c>
      <c r="B69" t="s">
        <v>18</v>
      </c>
      <c r="C69" t="s">
        <v>19</v>
      </c>
      <c r="D69" t="s">
        <v>27</v>
      </c>
      <c r="E69" t="s">
        <v>177</v>
      </c>
      <c r="F69" t="s">
        <v>43</v>
      </c>
      <c r="G69">
        <v>51.28</v>
      </c>
      <c r="H69">
        <v>6</v>
      </c>
      <c r="I69">
        <v>15.384</v>
      </c>
      <c r="J69">
        <v>323.06400000000002</v>
      </c>
      <c r="K69" s="1">
        <v>43484</v>
      </c>
      <c r="L69" s="2">
        <v>0.68819444444444444</v>
      </c>
      <c r="M69" t="s">
        <v>29</v>
      </c>
      <c r="N69">
        <v>307.68</v>
      </c>
      <c r="O69">
        <v>4.7619047620000003</v>
      </c>
      <c r="P69">
        <v>15.384</v>
      </c>
      <c r="Q69">
        <v>6.5</v>
      </c>
      <c r="R69" s="3">
        <f t="shared" si="4"/>
        <v>43484.688194444447</v>
      </c>
      <c r="S69">
        <f t="shared" si="3"/>
        <v>63.000000006286427</v>
      </c>
      <c r="T69">
        <f t="shared" si="5"/>
        <v>63</v>
      </c>
    </row>
    <row r="70" spans="1:20">
      <c r="A70" t="s">
        <v>978</v>
      </c>
      <c r="B70" t="s">
        <v>18</v>
      </c>
      <c r="C70" t="s">
        <v>19</v>
      </c>
      <c r="D70" t="s">
        <v>27</v>
      </c>
      <c r="E70" t="s">
        <v>21</v>
      </c>
      <c r="F70" t="s">
        <v>31</v>
      </c>
      <c r="G70">
        <v>45.68</v>
      </c>
      <c r="H70">
        <v>10</v>
      </c>
      <c r="I70">
        <v>22.84</v>
      </c>
      <c r="J70">
        <v>479.64</v>
      </c>
      <c r="K70" s="1">
        <v>43484</v>
      </c>
      <c r="L70" s="2">
        <v>0.8125</v>
      </c>
      <c r="M70" t="s">
        <v>23</v>
      </c>
      <c r="N70">
        <v>456.8</v>
      </c>
      <c r="O70">
        <v>4.7619047620000003</v>
      </c>
      <c r="P70">
        <v>22.84</v>
      </c>
      <c r="Q70">
        <v>5.7</v>
      </c>
      <c r="R70" s="3">
        <f t="shared" si="4"/>
        <v>43484.8125</v>
      </c>
      <c r="S70">
        <f t="shared" si="3"/>
        <v>178.99999999674037</v>
      </c>
      <c r="T70">
        <f t="shared" si="5"/>
        <v>179</v>
      </c>
    </row>
    <row r="71" spans="1:20">
      <c r="A71" t="s">
        <v>148</v>
      </c>
      <c r="B71" t="s">
        <v>18</v>
      </c>
      <c r="C71" t="s">
        <v>19</v>
      </c>
      <c r="D71" t="s">
        <v>20</v>
      </c>
      <c r="E71" t="s">
        <v>21</v>
      </c>
      <c r="F71" t="s">
        <v>31</v>
      </c>
      <c r="G71">
        <v>58.07</v>
      </c>
      <c r="H71">
        <v>9</v>
      </c>
      <c r="I71">
        <v>26.131499999999999</v>
      </c>
      <c r="J71">
        <v>548.76149999999996</v>
      </c>
      <c r="K71" s="1">
        <v>43484</v>
      </c>
      <c r="L71" s="2">
        <v>0.83819444444444446</v>
      </c>
      <c r="M71" t="s">
        <v>23</v>
      </c>
      <c r="N71">
        <v>522.63</v>
      </c>
      <c r="O71">
        <v>4.7619047620000003</v>
      </c>
      <c r="P71">
        <v>26.131499999999999</v>
      </c>
      <c r="Q71">
        <v>4.3</v>
      </c>
      <c r="R71" s="3">
        <f t="shared" si="4"/>
        <v>43484.838194444441</v>
      </c>
      <c r="S71">
        <f t="shared" si="3"/>
        <v>36.999999994877726</v>
      </c>
      <c r="T71">
        <f t="shared" si="5"/>
        <v>37</v>
      </c>
    </row>
    <row r="72" spans="1:20">
      <c r="A72" t="s">
        <v>853</v>
      </c>
      <c r="B72" t="s">
        <v>18</v>
      </c>
      <c r="C72" t="s">
        <v>19</v>
      </c>
      <c r="D72" t="s">
        <v>27</v>
      </c>
      <c r="E72" t="s">
        <v>177</v>
      </c>
      <c r="F72" t="s">
        <v>43</v>
      </c>
      <c r="G72">
        <v>33.880000000000003</v>
      </c>
      <c r="H72">
        <v>8</v>
      </c>
      <c r="I72">
        <v>13.552</v>
      </c>
      <c r="J72">
        <v>284.59199999999998</v>
      </c>
      <c r="K72" s="1">
        <v>43484</v>
      </c>
      <c r="L72" s="2">
        <v>0.85347222222222219</v>
      </c>
      <c r="M72" t="s">
        <v>23</v>
      </c>
      <c r="N72">
        <v>271.04000000000002</v>
      </c>
      <c r="O72">
        <v>4.7619047620000003</v>
      </c>
      <c r="P72">
        <v>13.552</v>
      </c>
      <c r="Q72">
        <v>9.6</v>
      </c>
      <c r="R72" s="3">
        <f t="shared" si="4"/>
        <v>43484.853472222225</v>
      </c>
      <c r="S72">
        <f t="shared" si="3"/>
        <v>22.000000008847564</v>
      </c>
      <c r="T72">
        <f t="shared" si="5"/>
        <v>22</v>
      </c>
    </row>
    <row r="73" spans="1:20" hidden="1">
      <c r="A73" t="s">
        <v>800</v>
      </c>
      <c r="B73" t="s">
        <v>18</v>
      </c>
      <c r="C73" t="s">
        <v>19</v>
      </c>
      <c r="D73" t="s">
        <v>20</v>
      </c>
      <c r="E73" t="s">
        <v>177</v>
      </c>
      <c r="F73" t="s">
        <v>22</v>
      </c>
      <c r="G73">
        <v>55.5</v>
      </c>
      <c r="H73">
        <v>4</v>
      </c>
      <c r="I73">
        <v>11.1</v>
      </c>
      <c r="J73">
        <v>233.1</v>
      </c>
      <c r="K73" s="1">
        <v>43485</v>
      </c>
      <c r="L73" s="2">
        <v>0.65833333333333333</v>
      </c>
      <c r="M73" t="s">
        <v>32</v>
      </c>
      <c r="N73">
        <v>222</v>
      </c>
      <c r="O73">
        <v>4.7619047620000003</v>
      </c>
      <c r="P73">
        <v>11.1</v>
      </c>
      <c r="Q73">
        <v>6.6</v>
      </c>
      <c r="R73" s="3">
        <f t="shared" si="4"/>
        <v>43485.658333333333</v>
      </c>
      <c r="S73" t="str">
        <f t="shared" si="3"/>
        <v/>
      </c>
      <c r="T73" t="str">
        <f t="shared" si="5"/>
        <v/>
      </c>
    </row>
    <row r="74" spans="1:20">
      <c r="A74" t="s">
        <v>93</v>
      </c>
      <c r="B74" t="s">
        <v>18</v>
      </c>
      <c r="C74" t="s">
        <v>19</v>
      </c>
      <c r="D74" t="s">
        <v>20</v>
      </c>
      <c r="E74" t="s">
        <v>21</v>
      </c>
      <c r="F74" t="s">
        <v>31</v>
      </c>
      <c r="G74">
        <v>72.349999999999994</v>
      </c>
      <c r="H74">
        <v>10</v>
      </c>
      <c r="I74">
        <v>36.174999999999997</v>
      </c>
      <c r="J74">
        <v>759.67499999999995</v>
      </c>
      <c r="K74" s="1">
        <v>43485</v>
      </c>
      <c r="L74" s="2">
        <v>0.66319444444444442</v>
      </c>
      <c r="M74" t="s">
        <v>29</v>
      </c>
      <c r="N74">
        <v>723.5</v>
      </c>
      <c r="O74">
        <v>4.7619047620000003</v>
      </c>
      <c r="P74">
        <v>36.174999999999997</v>
      </c>
      <c r="Q74">
        <v>5.4</v>
      </c>
      <c r="R74" s="3">
        <f t="shared" si="4"/>
        <v>43485.663194444445</v>
      </c>
      <c r="S74">
        <f t="shared" si="3"/>
        <v>7.0000000018626451</v>
      </c>
      <c r="T74">
        <f t="shared" si="5"/>
        <v>7</v>
      </c>
    </row>
    <row r="75" spans="1:20">
      <c r="A75" t="s">
        <v>798</v>
      </c>
      <c r="B75" t="s">
        <v>18</v>
      </c>
      <c r="C75" t="s">
        <v>19</v>
      </c>
      <c r="D75" t="s">
        <v>20</v>
      </c>
      <c r="E75" t="s">
        <v>21</v>
      </c>
      <c r="F75" t="s">
        <v>45</v>
      </c>
      <c r="G75">
        <v>63.88</v>
      </c>
      <c r="H75">
        <v>8</v>
      </c>
      <c r="I75">
        <v>25.552</v>
      </c>
      <c r="J75">
        <v>536.59199999999998</v>
      </c>
      <c r="K75" s="1">
        <v>43485</v>
      </c>
      <c r="L75" s="2">
        <v>0.7416666666666667</v>
      </c>
      <c r="M75" t="s">
        <v>23</v>
      </c>
      <c r="N75">
        <v>511.04</v>
      </c>
      <c r="O75">
        <v>4.7619047620000003</v>
      </c>
      <c r="P75">
        <v>25.552</v>
      </c>
      <c r="Q75">
        <v>9.9</v>
      </c>
      <c r="R75" s="3">
        <f t="shared" si="4"/>
        <v>43485.741666666669</v>
      </c>
      <c r="S75">
        <f t="shared" si="3"/>
        <v>113.00000000162981</v>
      </c>
      <c r="T75">
        <f t="shared" si="5"/>
        <v>113</v>
      </c>
    </row>
    <row r="76" spans="1:20">
      <c r="A76" t="s">
        <v>271</v>
      </c>
      <c r="B76" t="s">
        <v>18</v>
      </c>
      <c r="C76" t="s">
        <v>19</v>
      </c>
      <c r="D76" t="s">
        <v>27</v>
      </c>
      <c r="E76" t="s">
        <v>21</v>
      </c>
      <c r="F76" t="s">
        <v>35</v>
      </c>
      <c r="G76">
        <v>93.14</v>
      </c>
      <c r="H76">
        <v>2</v>
      </c>
      <c r="I76">
        <v>9.3140000000000001</v>
      </c>
      <c r="J76">
        <v>195.59399999999999</v>
      </c>
      <c r="K76" s="1">
        <v>43485</v>
      </c>
      <c r="L76" s="2">
        <v>0.75624999999999998</v>
      </c>
      <c r="M76" t="s">
        <v>23</v>
      </c>
      <c r="N76">
        <v>186.28</v>
      </c>
      <c r="O76">
        <v>4.7619047620000003</v>
      </c>
      <c r="P76">
        <v>9.3140000000000001</v>
      </c>
      <c r="Q76">
        <v>4.0999999999999996</v>
      </c>
      <c r="R76" s="3">
        <f t="shared" si="4"/>
        <v>43485.756249999999</v>
      </c>
      <c r="S76">
        <f t="shared" si="3"/>
        <v>20.999999995110556</v>
      </c>
      <c r="T76">
        <f t="shared" si="5"/>
        <v>21</v>
      </c>
    </row>
    <row r="77" spans="1:20" hidden="1">
      <c r="A77" t="s">
        <v>329</v>
      </c>
      <c r="B77" t="s">
        <v>18</v>
      </c>
      <c r="C77" t="s">
        <v>19</v>
      </c>
      <c r="D77" t="s">
        <v>20</v>
      </c>
      <c r="E77" t="s">
        <v>21</v>
      </c>
      <c r="F77" t="s">
        <v>43</v>
      </c>
      <c r="G77">
        <v>36.36</v>
      </c>
      <c r="H77">
        <v>2</v>
      </c>
      <c r="I77">
        <v>3.6360000000000001</v>
      </c>
      <c r="J77">
        <v>76.355999999999995</v>
      </c>
      <c r="K77" s="1">
        <v>43486</v>
      </c>
      <c r="L77" s="2">
        <v>0.41666666666666669</v>
      </c>
      <c r="M77" t="s">
        <v>29</v>
      </c>
      <c r="N77">
        <v>72.72</v>
      </c>
      <c r="O77">
        <v>4.7619047620000003</v>
      </c>
      <c r="P77">
        <v>3.6360000000000001</v>
      </c>
      <c r="Q77">
        <v>7.1</v>
      </c>
      <c r="R77" s="3">
        <f t="shared" si="4"/>
        <v>43486.416666666664</v>
      </c>
      <c r="S77" t="str">
        <f t="shared" si="3"/>
        <v/>
      </c>
      <c r="T77" t="str">
        <f t="shared" si="5"/>
        <v/>
      </c>
    </row>
    <row r="78" spans="1:20">
      <c r="A78" t="s">
        <v>180</v>
      </c>
      <c r="B78" t="s">
        <v>18</v>
      </c>
      <c r="C78" t="s">
        <v>19</v>
      </c>
      <c r="D78" t="s">
        <v>27</v>
      </c>
      <c r="E78" t="s">
        <v>21</v>
      </c>
      <c r="F78" t="s">
        <v>31</v>
      </c>
      <c r="G78">
        <v>77.95</v>
      </c>
      <c r="H78">
        <v>6</v>
      </c>
      <c r="I78">
        <v>23.385000000000002</v>
      </c>
      <c r="J78">
        <v>491.08499999999998</v>
      </c>
      <c r="K78" s="1">
        <v>43486</v>
      </c>
      <c r="L78" s="2">
        <v>0.69236111111111109</v>
      </c>
      <c r="M78" t="s">
        <v>23</v>
      </c>
      <c r="N78">
        <v>467.7</v>
      </c>
      <c r="O78">
        <v>4.7619047620000003</v>
      </c>
      <c r="P78">
        <v>23.385000000000002</v>
      </c>
      <c r="Q78">
        <v>8</v>
      </c>
      <c r="R78" s="3">
        <f t="shared" si="4"/>
        <v>43486.692361111112</v>
      </c>
      <c r="S78">
        <f t="shared" si="3"/>
        <v>397.0000000053551</v>
      </c>
      <c r="T78">
        <f t="shared" si="5"/>
        <v>397</v>
      </c>
    </row>
    <row r="79" spans="1:20">
      <c r="A79" t="s">
        <v>399</v>
      </c>
      <c r="B79" t="s">
        <v>18</v>
      </c>
      <c r="C79" t="s">
        <v>19</v>
      </c>
      <c r="D79" t="s">
        <v>27</v>
      </c>
      <c r="E79" t="s">
        <v>177</v>
      </c>
      <c r="F79" t="s">
        <v>31</v>
      </c>
      <c r="G79">
        <v>73.22</v>
      </c>
      <c r="H79">
        <v>6</v>
      </c>
      <c r="I79">
        <v>21.966000000000001</v>
      </c>
      <c r="J79">
        <v>461.286</v>
      </c>
      <c r="K79" s="1">
        <v>43486</v>
      </c>
      <c r="L79" s="2">
        <v>0.73888888888888893</v>
      </c>
      <c r="M79" t="s">
        <v>29</v>
      </c>
      <c r="N79">
        <v>439.32</v>
      </c>
      <c r="O79">
        <v>4.7619047620000003</v>
      </c>
      <c r="P79">
        <v>21.966000000000001</v>
      </c>
      <c r="Q79">
        <v>7.2</v>
      </c>
      <c r="R79" s="3">
        <f t="shared" si="4"/>
        <v>43486.738888888889</v>
      </c>
      <c r="S79">
        <f t="shared" si="3"/>
        <v>66.999999998370185</v>
      </c>
      <c r="T79">
        <f t="shared" si="5"/>
        <v>67</v>
      </c>
    </row>
    <row r="80" spans="1:20">
      <c r="A80" t="s">
        <v>53</v>
      </c>
      <c r="B80" t="s">
        <v>18</v>
      </c>
      <c r="C80" t="s">
        <v>19</v>
      </c>
      <c r="D80" t="s">
        <v>20</v>
      </c>
      <c r="E80" t="s">
        <v>21</v>
      </c>
      <c r="F80" t="s">
        <v>43</v>
      </c>
      <c r="G80">
        <v>54.67</v>
      </c>
      <c r="H80">
        <v>3</v>
      </c>
      <c r="I80">
        <v>8.2004999999999999</v>
      </c>
      <c r="J80">
        <v>172.2105</v>
      </c>
      <c r="K80" s="1">
        <v>43486</v>
      </c>
      <c r="L80" s="2">
        <v>0.75</v>
      </c>
      <c r="M80" t="s">
        <v>32</v>
      </c>
      <c r="N80">
        <v>164.01</v>
      </c>
      <c r="O80">
        <v>4.7619047620000003</v>
      </c>
      <c r="P80">
        <v>8.2004999999999999</v>
      </c>
      <c r="Q80">
        <v>8.6</v>
      </c>
      <c r="R80" s="3">
        <f t="shared" si="4"/>
        <v>43486.75</v>
      </c>
      <c r="S80">
        <f t="shared" si="3"/>
        <v>15.999999999767169</v>
      </c>
      <c r="T80">
        <f t="shared" si="5"/>
        <v>16</v>
      </c>
    </row>
    <row r="81" spans="1:20">
      <c r="A81" t="s">
        <v>462</v>
      </c>
      <c r="B81" t="s">
        <v>18</v>
      </c>
      <c r="C81" t="s">
        <v>19</v>
      </c>
      <c r="D81" t="s">
        <v>20</v>
      </c>
      <c r="E81" t="s">
        <v>177</v>
      </c>
      <c r="F81" t="s">
        <v>22</v>
      </c>
      <c r="G81">
        <v>53.17</v>
      </c>
      <c r="H81">
        <v>7</v>
      </c>
      <c r="I81">
        <v>18.609500000000001</v>
      </c>
      <c r="J81">
        <v>390.79950000000002</v>
      </c>
      <c r="K81" s="1">
        <v>43486</v>
      </c>
      <c r="L81" s="2">
        <v>0.75069444444444444</v>
      </c>
      <c r="M81" t="s">
        <v>29</v>
      </c>
      <c r="N81">
        <v>372.19</v>
      </c>
      <c r="O81">
        <v>4.7619047620000003</v>
      </c>
      <c r="P81">
        <v>18.609500000000001</v>
      </c>
      <c r="Q81">
        <v>8.9</v>
      </c>
      <c r="R81" s="3">
        <f t="shared" si="4"/>
        <v>43486.750694444447</v>
      </c>
      <c r="S81">
        <f t="shared" ref="S81:S144" si="6">IF(K81=K80, (R81-R80)*1440, "")</f>
        <v>1.000000003259629</v>
      </c>
      <c r="T81">
        <f t="shared" si="5"/>
        <v>1</v>
      </c>
    </row>
    <row r="82" spans="1:20" hidden="1">
      <c r="A82" t="s">
        <v>109</v>
      </c>
      <c r="B82" t="s">
        <v>18</v>
      </c>
      <c r="C82" t="s">
        <v>19</v>
      </c>
      <c r="D82" t="s">
        <v>20</v>
      </c>
      <c r="E82" t="s">
        <v>21</v>
      </c>
      <c r="F82" t="s">
        <v>31</v>
      </c>
      <c r="G82">
        <v>74.67</v>
      </c>
      <c r="H82">
        <v>9</v>
      </c>
      <c r="I82">
        <v>33.601500000000001</v>
      </c>
      <c r="J82">
        <v>705.63149999999996</v>
      </c>
      <c r="K82" s="1">
        <v>43487</v>
      </c>
      <c r="L82" s="2">
        <v>0.4548611111111111</v>
      </c>
      <c r="M82" t="s">
        <v>23</v>
      </c>
      <c r="N82">
        <v>672.03</v>
      </c>
      <c r="O82">
        <v>4.7619047620000003</v>
      </c>
      <c r="P82">
        <v>33.601500000000001</v>
      </c>
      <c r="Q82">
        <v>9.4</v>
      </c>
      <c r="R82" s="3">
        <f t="shared" si="4"/>
        <v>43487.454861111109</v>
      </c>
      <c r="S82" t="str">
        <f t="shared" si="6"/>
        <v/>
      </c>
      <c r="T82" t="str">
        <f t="shared" si="5"/>
        <v/>
      </c>
    </row>
    <row r="83" spans="1:20">
      <c r="A83" t="s">
        <v>576</v>
      </c>
      <c r="B83" t="s">
        <v>18</v>
      </c>
      <c r="C83" t="s">
        <v>19</v>
      </c>
      <c r="D83" t="s">
        <v>27</v>
      </c>
      <c r="E83" t="s">
        <v>177</v>
      </c>
      <c r="F83" t="s">
        <v>31</v>
      </c>
      <c r="G83">
        <v>30.68</v>
      </c>
      <c r="H83">
        <v>3</v>
      </c>
      <c r="I83">
        <v>4.6020000000000003</v>
      </c>
      <c r="J83">
        <v>96.641999999999996</v>
      </c>
      <c r="K83" s="1">
        <v>43487</v>
      </c>
      <c r="L83" s="2">
        <v>0.45833333333333331</v>
      </c>
      <c r="M83" t="s">
        <v>23</v>
      </c>
      <c r="N83">
        <v>92.04</v>
      </c>
      <c r="O83">
        <v>4.7619047620000003</v>
      </c>
      <c r="P83">
        <v>4.6020000000000003</v>
      </c>
      <c r="Q83">
        <v>9.1</v>
      </c>
      <c r="R83" s="3">
        <f t="shared" si="4"/>
        <v>43487.458333333336</v>
      </c>
      <c r="S83">
        <f t="shared" si="6"/>
        <v>5.0000000058207661</v>
      </c>
      <c r="T83">
        <f t="shared" si="5"/>
        <v>5</v>
      </c>
    </row>
    <row r="84" spans="1:20" hidden="1">
      <c r="A84" t="s">
        <v>585</v>
      </c>
      <c r="B84" t="s">
        <v>18</v>
      </c>
      <c r="C84" t="s">
        <v>19</v>
      </c>
      <c r="D84" t="s">
        <v>27</v>
      </c>
      <c r="E84" t="s">
        <v>21</v>
      </c>
      <c r="F84" t="s">
        <v>28</v>
      </c>
      <c r="G84">
        <v>66.06</v>
      </c>
      <c r="H84">
        <v>6</v>
      </c>
      <c r="I84">
        <v>19.818000000000001</v>
      </c>
      <c r="J84">
        <v>416.178</v>
      </c>
      <c r="K84" s="1">
        <v>43488</v>
      </c>
      <c r="L84" s="2">
        <v>0.43611111111111112</v>
      </c>
      <c r="M84" t="s">
        <v>29</v>
      </c>
      <c r="N84">
        <v>396.36</v>
      </c>
      <c r="O84">
        <v>4.7619047620000003</v>
      </c>
      <c r="P84">
        <v>19.818000000000001</v>
      </c>
      <c r="Q84">
        <v>7.3</v>
      </c>
      <c r="R84" s="3">
        <f t="shared" si="4"/>
        <v>43488.436111111114</v>
      </c>
      <c r="S84" t="str">
        <f t="shared" si="6"/>
        <v/>
      </c>
      <c r="T84" t="str">
        <f t="shared" si="5"/>
        <v/>
      </c>
    </row>
    <row r="85" spans="1:20">
      <c r="A85" t="s">
        <v>654</v>
      </c>
      <c r="B85" t="s">
        <v>18</v>
      </c>
      <c r="C85" t="s">
        <v>19</v>
      </c>
      <c r="D85" t="s">
        <v>20</v>
      </c>
      <c r="E85" t="s">
        <v>177</v>
      </c>
      <c r="F85" t="s">
        <v>43</v>
      </c>
      <c r="G85">
        <v>98.53</v>
      </c>
      <c r="H85">
        <v>6</v>
      </c>
      <c r="I85">
        <v>29.559000000000001</v>
      </c>
      <c r="J85">
        <v>620.73900000000003</v>
      </c>
      <c r="K85" s="1">
        <v>43488</v>
      </c>
      <c r="L85" s="2">
        <v>0.47361111111111109</v>
      </c>
      <c r="M85" t="s">
        <v>32</v>
      </c>
      <c r="N85">
        <v>591.17999999999995</v>
      </c>
      <c r="O85">
        <v>4.7619047620000003</v>
      </c>
      <c r="P85">
        <v>29.559000000000001</v>
      </c>
      <c r="Q85">
        <v>4</v>
      </c>
      <c r="R85" s="3">
        <f t="shared" si="4"/>
        <v>43488.473611111112</v>
      </c>
      <c r="S85">
        <f t="shared" si="6"/>
        <v>53.999999997904524</v>
      </c>
      <c r="T85">
        <f t="shared" si="5"/>
        <v>54</v>
      </c>
    </row>
    <row r="86" spans="1:20">
      <c r="A86" t="s">
        <v>644</v>
      </c>
      <c r="B86" t="s">
        <v>18</v>
      </c>
      <c r="C86" t="s">
        <v>19</v>
      </c>
      <c r="D86" t="s">
        <v>27</v>
      </c>
      <c r="E86" t="s">
        <v>177</v>
      </c>
      <c r="F86" t="s">
        <v>45</v>
      </c>
      <c r="G86">
        <v>30.61</v>
      </c>
      <c r="H86">
        <v>1</v>
      </c>
      <c r="I86">
        <v>1.5305</v>
      </c>
      <c r="J86">
        <v>32.140500000000003</v>
      </c>
      <c r="K86" s="1">
        <v>43488</v>
      </c>
      <c r="L86" s="2">
        <v>0.51388888888888884</v>
      </c>
      <c r="M86" t="s">
        <v>23</v>
      </c>
      <c r="N86">
        <v>30.61</v>
      </c>
      <c r="O86">
        <v>4.7619047620000003</v>
      </c>
      <c r="P86">
        <v>1.5305</v>
      </c>
      <c r="Q86">
        <v>5.2</v>
      </c>
      <c r="R86" s="3">
        <f t="shared" si="4"/>
        <v>43488.513888888891</v>
      </c>
      <c r="S86">
        <f t="shared" si="6"/>
        <v>58.000000000465661</v>
      </c>
      <c r="T86">
        <f t="shared" si="5"/>
        <v>58</v>
      </c>
    </row>
    <row r="87" spans="1:20">
      <c r="A87" t="s">
        <v>895</v>
      </c>
      <c r="B87" t="s">
        <v>18</v>
      </c>
      <c r="C87" t="s">
        <v>19</v>
      </c>
      <c r="D87" t="s">
        <v>20</v>
      </c>
      <c r="E87" t="s">
        <v>21</v>
      </c>
      <c r="F87" t="s">
        <v>43</v>
      </c>
      <c r="G87">
        <v>47.63</v>
      </c>
      <c r="H87">
        <v>9</v>
      </c>
      <c r="I87">
        <v>21.433499999999999</v>
      </c>
      <c r="J87">
        <v>450.1035</v>
      </c>
      <c r="K87" s="1">
        <v>43488</v>
      </c>
      <c r="L87" s="2">
        <v>0.52430555555555558</v>
      </c>
      <c r="M87" t="s">
        <v>29</v>
      </c>
      <c r="N87">
        <v>428.67</v>
      </c>
      <c r="O87">
        <v>4.7619047620000003</v>
      </c>
      <c r="P87">
        <v>21.433499999999999</v>
      </c>
      <c r="Q87">
        <v>5</v>
      </c>
      <c r="R87" s="3">
        <f t="shared" si="4"/>
        <v>43488.524305555555</v>
      </c>
      <c r="S87">
        <f t="shared" si="6"/>
        <v>14.99999999650754</v>
      </c>
      <c r="T87">
        <f t="shared" si="5"/>
        <v>15</v>
      </c>
    </row>
    <row r="88" spans="1:20">
      <c r="A88" t="s">
        <v>283</v>
      </c>
      <c r="B88" t="s">
        <v>18</v>
      </c>
      <c r="C88" t="s">
        <v>19</v>
      </c>
      <c r="D88" t="s">
        <v>20</v>
      </c>
      <c r="E88" t="s">
        <v>177</v>
      </c>
      <c r="F88" t="s">
        <v>45</v>
      </c>
      <c r="G88">
        <v>17.940000000000001</v>
      </c>
      <c r="H88">
        <v>5</v>
      </c>
      <c r="I88">
        <v>4.4850000000000003</v>
      </c>
      <c r="J88">
        <v>94.185000000000002</v>
      </c>
      <c r="K88" s="1">
        <v>43488</v>
      </c>
      <c r="L88" s="2">
        <v>0.58611111111111114</v>
      </c>
      <c r="M88" t="s">
        <v>23</v>
      </c>
      <c r="N88">
        <v>89.7</v>
      </c>
      <c r="O88">
        <v>4.7619047620000003</v>
      </c>
      <c r="P88">
        <v>4.4850000000000003</v>
      </c>
      <c r="Q88">
        <v>6.8</v>
      </c>
      <c r="R88" s="3">
        <f t="shared" si="4"/>
        <v>43488.586111111108</v>
      </c>
      <c r="S88">
        <f t="shared" si="6"/>
        <v>88.999999996740371</v>
      </c>
      <c r="T88">
        <f t="shared" si="5"/>
        <v>89</v>
      </c>
    </row>
    <row r="89" spans="1:20">
      <c r="A89" t="s">
        <v>890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95.95</v>
      </c>
      <c r="H89">
        <v>5</v>
      </c>
      <c r="I89">
        <v>23.987500000000001</v>
      </c>
      <c r="J89">
        <v>503.73750000000001</v>
      </c>
      <c r="K89" s="1">
        <v>43488</v>
      </c>
      <c r="L89" s="2">
        <v>0.59791666666666665</v>
      </c>
      <c r="M89" t="s">
        <v>23</v>
      </c>
      <c r="N89">
        <v>479.75</v>
      </c>
      <c r="O89">
        <v>4.7619047620000003</v>
      </c>
      <c r="P89">
        <v>23.987500000000001</v>
      </c>
      <c r="Q89">
        <v>8.8000000000000007</v>
      </c>
      <c r="R89" s="3">
        <f t="shared" si="4"/>
        <v>43488.597916666666</v>
      </c>
      <c r="S89">
        <f t="shared" si="6"/>
        <v>17.000000003026798</v>
      </c>
      <c r="T89">
        <f t="shared" si="5"/>
        <v>17</v>
      </c>
    </row>
    <row r="90" spans="1:20">
      <c r="A90" t="s">
        <v>1017</v>
      </c>
      <c r="B90" t="s">
        <v>18</v>
      </c>
      <c r="C90" t="s">
        <v>19</v>
      </c>
      <c r="D90" t="s">
        <v>27</v>
      </c>
      <c r="E90" t="s">
        <v>177</v>
      </c>
      <c r="F90" t="s">
        <v>22</v>
      </c>
      <c r="G90">
        <v>58.15</v>
      </c>
      <c r="H90">
        <v>4</v>
      </c>
      <c r="I90">
        <v>11.63</v>
      </c>
      <c r="J90">
        <v>244.23</v>
      </c>
      <c r="K90" s="1">
        <v>43488</v>
      </c>
      <c r="L90" s="2">
        <v>0.73888888888888893</v>
      </c>
      <c r="M90" t="s">
        <v>29</v>
      </c>
      <c r="N90">
        <v>232.6</v>
      </c>
      <c r="O90">
        <v>4.7619047620000003</v>
      </c>
      <c r="P90">
        <v>11.63</v>
      </c>
      <c r="Q90">
        <v>8.4</v>
      </c>
      <c r="R90" s="3">
        <f t="shared" si="4"/>
        <v>43488.738888888889</v>
      </c>
      <c r="S90">
        <f t="shared" si="6"/>
        <v>203.00000000162981</v>
      </c>
      <c r="T90">
        <f t="shared" si="5"/>
        <v>203</v>
      </c>
    </row>
    <row r="91" spans="1:20" hidden="1">
      <c r="A91" t="s">
        <v>103</v>
      </c>
      <c r="B91" t="s">
        <v>18</v>
      </c>
      <c r="C91" t="s">
        <v>19</v>
      </c>
      <c r="D91" t="s">
        <v>20</v>
      </c>
      <c r="E91" t="s">
        <v>21</v>
      </c>
      <c r="F91" t="s">
        <v>35</v>
      </c>
      <c r="G91">
        <v>78.77</v>
      </c>
      <c r="H91">
        <v>10</v>
      </c>
      <c r="I91">
        <v>39.384999999999998</v>
      </c>
      <c r="J91">
        <v>827.08500000000004</v>
      </c>
      <c r="K91" s="1">
        <v>43489</v>
      </c>
      <c r="L91" s="2">
        <v>0.41944444444444445</v>
      </c>
      <c r="M91" t="s">
        <v>29</v>
      </c>
      <c r="N91">
        <v>787.7</v>
      </c>
      <c r="O91">
        <v>4.7619047620000003</v>
      </c>
      <c r="P91">
        <v>39.384999999999998</v>
      </c>
      <c r="Q91">
        <v>6.4</v>
      </c>
      <c r="R91" s="3">
        <f t="shared" si="4"/>
        <v>43489.419444444444</v>
      </c>
      <c r="S91" t="str">
        <f t="shared" si="6"/>
        <v/>
      </c>
      <c r="T91" t="str">
        <f t="shared" si="5"/>
        <v/>
      </c>
    </row>
    <row r="92" spans="1:20">
      <c r="A92" t="s">
        <v>850</v>
      </c>
      <c r="B92" t="s">
        <v>18</v>
      </c>
      <c r="C92" t="s">
        <v>19</v>
      </c>
      <c r="D92" t="s">
        <v>20</v>
      </c>
      <c r="E92" t="s">
        <v>21</v>
      </c>
      <c r="F92" t="s">
        <v>28</v>
      </c>
      <c r="G92">
        <v>48.62</v>
      </c>
      <c r="H92">
        <v>8</v>
      </c>
      <c r="I92">
        <v>19.448</v>
      </c>
      <c r="J92">
        <v>408.40800000000002</v>
      </c>
      <c r="K92" s="1">
        <v>43489</v>
      </c>
      <c r="L92" s="2">
        <v>0.45624999999999999</v>
      </c>
      <c r="M92" t="s">
        <v>29</v>
      </c>
      <c r="N92">
        <v>388.96</v>
      </c>
      <c r="O92">
        <v>4.7619047620000003</v>
      </c>
      <c r="P92">
        <v>19.448</v>
      </c>
      <c r="Q92">
        <v>5</v>
      </c>
      <c r="R92" s="3">
        <f t="shared" si="4"/>
        <v>43489.456250000003</v>
      </c>
      <c r="S92">
        <f t="shared" si="6"/>
        <v>53.000000005122274</v>
      </c>
      <c r="T92">
        <f t="shared" si="5"/>
        <v>53</v>
      </c>
    </row>
    <row r="93" spans="1:20">
      <c r="A93" t="s">
        <v>866</v>
      </c>
      <c r="B93" t="s">
        <v>18</v>
      </c>
      <c r="C93" t="s">
        <v>19</v>
      </c>
      <c r="D93" t="s">
        <v>27</v>
      </c>
      <c r="E93" t="s">
        <v>177</v>
      </c>
      <c r="F93" t="s">
        <v>28</v>
      </c>
      <c r="G93">
        <v>10.56</v>
      </c>
      <c r="H93">
        <v>8</v>
      </c>
      <c r="I93">
        <v>4.2240000000000002</v>
      </c>
      <c r="J93">
        <v>88.703999999999994</v>
      </c>
      <c r="K93" s="1">
        <v>43489</v>
      </c>
      <c r="L93" s="2">
        <v>0.73819444444444449</v>
      </c>
      <c r="M93" t="s">
        <v>29</v>
      </c>
      <c r="N93">
        <v>84.48</v>
      </c>
      <c r="O93">
        <v>4.7619047620000003</v>
      </c>
      <c r="P93">
        <v>4.2240000000000002</v>
      </c>
      <c r="Q93">
        <v>7.6</v>
      </c>
      <c r="R93" s="3">
        <f t="shared" si="4"/>
        <v>43489.738194444442</v>
      </c>
      <c r="S93">
        <f t="shared" si="6"/>
        <v>405.99999999278225</v>
      </c>
      <c r="T93">
        <f t="shared" si="5"/>
        <v>406</v>
      </c>
    </row>
    <row r="94" spans="1:20">
      <c r="A94" t="s">
        <v>567</v>
      </c>
      <c r="B94" t="s">
        <v>18</v>
      </c>
      <c r="C94" t="s">
        <v>19</v>
      </c>
      <c r="D94" t="s">
        <v>20</v>
      </c>
      <c r="E94" t="s">
        <v>177</v>
      </c>
      <c r="F94" t="s">
        <v>45</v>
      </c>
      <c r="G94">
        <v>86.68</v>
      </c>
      <c r="H94">
        <v>8</v>
      </c>
      <c r="I94">
        <v>34.671999999999997</v>
      </c>
      <c r="J94">
        <v>728.11199999999997</v>
      </c>
      <c r="K94" s="1">
        <v>43489</v>
      </c>
      <c r="L94" s="2">
        <v>0.75277777777777777</v>
      </c>
      <c r="M94" t="s">
        <v>32</v>
      </c>
      <c r="N94">
        <v>693.44</v>
      </c>
      <c r="O94">
        <v>4.7619047620000003</v>
      </c>
      <c r="P94">
        <v>34.671999999999997</v>
      </c>
      <c r="Q94">
        <v>7.2</v>
      </c>
      <c r="R94" s="3">
        <f t="shared" si="4"/>
        <v>43489.75277777778</v>
      </c>
      <c r="S94">
        <f t="shared" si="6"/>
        <v>21.000000005587935</v>
      </c>
      <c r="T94">
        <f t="shared" si="5"/>
        <v>21</v>
      </c>
    </row>
    <row r="95" spans="1:20">
      <c r="A95" t="s">
        <v>431</v>
      </c>
      <c r="B95" t="s">
        <v>18</v>
      </c>
      <c r="C95" t="s">
        <v>19</v>
      </c>
      <c r="D95" t="s">
        <v>27</v>
      </c>
      <c r="E95" t="s">
        <v>21</v>
      </c>
      <c r="F95" t="s">
        <v>22</v>
      </c>
      <c r="G95">
        <v>77.5</v>
      </c>
      <c r="H95">
        <v>5</v>
      </c>
      <c r="I95">
        <v>19.375</v>
      </c>
      <c r="J95">
        <v>406.875</v>
      </c>
      <c r="K95" s="1">
        <v>43489</v>
      </c>
      <c r="L95" s="2">
        <v>0.85833333333333328</v>
      </c>
      <c r="M95" t="s">
        <v>23</v>
      </c>
      <c r="N95">
        <v>387.5</v>
      </c>
      <c r="O95">
        <v>4.7619047620000003</v>
      </c>
      <c r="P95">
        <v>19.375</v>
      </c>
      <c r="Q95">
        <v>4.3</v>
      </c>
      <c r="R95" s="3">
        <f t="shared" si="4"/>
        <v>43489.85833333333</v>
      </c>
      <c r="S95">
        <f t="shared" si="6"/>
        <v>151.99999999254942</v>
      </c>
      <c r="T95">
        <f t="shared" si="5"/>
        <v>152</v>
      </c>
    </row>
    <row r="96" spans="1:20" hidden="1">
      <c r="A96" t="s">
        <v>886</v>
      </c>
      <c r="B96" t="s">
        <v>18</v>
      </c>
      <c r="C96" t="s">
        <v>19</v>
      </c>
      <c r="D96" t="s">
        <v>27</v>
      </c>
      <c r="E96" t="s">
        <v>177</v>
      </c>
      <c r="F96" t="s">
        <v>45</v>
      </c>
      <c r="G96">
        <v>74.099999999999994</v>
      </c>
      <c r="H96">
        <v>1</v>
      </c>
      <c r="I96">
        <v>3.7050000000000001</v>
      </c>
      <c r="J96">
        <v>77.805000000000007</v>
      </c>
      <c r="K96" s="1">
        <v>43490</v>
      </c>
      <c r="L96" s="2">
        <v>0.46180555555555558</v>
      </c>
      <c r="M96" t="s">
        <v>29</v>
      </c>
      <c r="N96">
        <v>74.099999999999994</v>
      </c>
      <c r="O96">
        <v>4.7619047620000003</v>
      </c>
      <c r="P96">
        <v>3.7050000000000001</v>
      </c>
      <c r="Q96">
        <v>9.1999999999999993</v>
      </c>
      <c r="R96" s="3">
        <f t="shared" si="4"/>
        <v>43490.461805555555</v>
      </c>
      <c r="S96" t="str">
        <f t="shared" si="6"/>
        <v/>
      </c>
      <c r="T96" t="str">
        <f t="shared" si="5"/>
        <v/>
      </c>
    </row>
    <row r="97" spans="1:20">
      <c r="A97" t="s">
        <v>507</v>
      </c>
      <c r="B97" t="s">
        <v>18</v>
      </c>
      <c r="C97" t="s">
        <v>19</v>
      </c>
      <c r="D97" t="s">
        <v>20</v>
      </c>
      <c r="E97" t="s">
        <v>21</v>
      </c>
      <c r="F97" t="s">
        <v>35</v>
      </c>
      <c r="G97">
        <v>40.049999999999997</v>
      </c>
      <c r="H97">
        <v>4</v>
      </c>
      <c r="I97">
        <v>8.01</v>
      </c>
      <c r="J97">
        <v>168.21</v>
      </c>
      <c r="K97" s="1">
        <v>43490</v>
      </c>
      <c r="L97" s="2">
        <v>0.4861111111111111</v>
      </c>
      <c r="M97" t="s">
        <v>29</v>
      </c>
      <c r="N97">
        <v>160.19999999999999</v>
      </c>
      <c r="O97">
        <v>4.7619047620000003</v>
      </c>
      <c r="P97">
        <v>8.01</v>
      </c>
      <c r="Q97">
        <v>9.6999999999999993</v>
      </c>
      <c r="R97" s="3">
        <f t="shared" si="4"/>
        <v>43490.486111111109</v>
      </c>
      <c r="S97">
        <f t="shared" si="6"/>
        <v>34.999999998835847</v>
      </c>
      <c r="T97">
        <f t="shared" si="5"/>
        <v>35</v>
      </c>
    </row>
    <row r="98" spans="1:20">
      <c r="A98" t="s">
        <v>664</v>
      </c>
      <c r="B98" t="s">
        <v>18</v>
      </c>
      <c r="C98" t="s">
        <v>19</v>
      </c>
      <c r="D98" t="s">
        <v>20</v>
      </c>
      <c r="E98" t="s">
        <v>177</v>
      </c>
      <c r="F98" t="s">
        <v>31</v>
      </c>
      <c r="G98">
        <v>53.3</v>
      </c>
      <c r="H98">
        <v>3</v>
      </c>
      <c r="I98">
        <v>7.9950000000000001</v>
      </c>
      <c r="J98">
        <v>167.89500000000001</v>
      </c>
      <c r="K98" s="1">
        <v>43490</v>
      </c>
      <c r="L98" s="2">
        <v>0.59652777777777777</v>
      </c>
      <c r="M98" t="s">
        <v>23</v>
      </c>
      <c r="N98">
        <v>159.9</v>
      </c>
      <c r="O98">
        <v>4.7619047620000003</v>
      </c>
      <c r="P98">
        <v>7.9950000000000001</v>
      </c>
      <c r="Q98">
        <v>7.5</v>
      </c>
      <c r="R98" s="3">
        <f t="shared" si="4"/>
        <v>43490.59652777778</v>
      </c>
      <c r="S98">
        <f t="shared" si="6"/>
        <v>159.00000000488944</v>
      </c>
      <c r="T98">
        <f t="shared" si="5"/>
        <v>159</v>
      </c>
    </row>
    <row r="99" spans="1:20">
      <c r="A99" t="s">
        <v>334</v>
      </c>
      <c r="B99" t="s">
        <v>18</v>
      </c>
      <c r="C99" t="s">
        <v>19</v>
      </c>
      <c r="D99" t="s">
        <v>20</v>
      </c>
      <c r="E99" t="s">
        <v>177</v>
      </c>
      <c r="F99" t="s">
        <v>31</v>
      </c>
      <c r="G99">
        <v>60.01</v>
      </c>
      <c r="H99">
        <v>4</v>
      </c>
      <c r="I99">
        <v>12.002000000000001</v>
      </c>
      <c r="J99">
        <v>252.042</v>
      </c>
      <c r="K99" s="1">
        <v>43490</v>
      </c>
      <c r="L99" s="2">
        <v>0.66249999999999998</v>
      </c>
      <c r="M99" t="s">
        <v>29</v>
      </c>
      <c r="N99">
        <v>240.04</v>
      </c>
      <c r="O99">
        <v>4.7619047620000003</v>
      </c>
      <c r="P99">
        <v>12.002000000000001</v>
      </c>
      <c r="Q99">
        <v>4.5</v>
      </c>
      <c r="R99" s="3">
        <f t="shared" si="4"/>
        <v>43490.662499999999</v>
      </c>
      <c r="S99">
        <f t="shared" si="6"/>
        <v>94.999999995343387</v>
      </c>
      <c r="T99">
        <f t="shared" si="5"/>
        <v>95</v>
      </c>
    </row>
    <row r="100" spans="1:20">
      <c r="A100" t="s">
        <v>246</v>
      </c>
      <c r="B100" t="s">
        <v>18</v>
      </c>
      <c r="C100" t="s">
        <v>19</v>
      </c>
      <c r="D100" t="s">
        <v>27</v>
      </c>
      <c r="E100" t="s">
        <v>177</v>
      </c>
      <c r="F100" t="s">
        <v>28</v>
      </c>
      <c r="G100">
        <v>26.23</v>
      </c>
      <c r="H100">
        <v>9</v>
      </c>
      <c r="I100">
        <v>11.8035</v>
      </c>
      <c r="J100">
        <v>247.87350000000001</v>
      </c>
      <c r="K100" s="1">
        <v>43490</v>
      </c>
      <c r="L100" s="2">
        <v>0.85</v>
      </c>
      <c r="M100" t="s">
        <v>23</v>
      </c>
      <c r="N100">
        <v>236.07</v>
      </c>
      <c r="O100">
        <v>4.7619047620000003</v>
      </c>
      <c r="P100">
        <v>11.8035</v>
      </c>
      <c r="Q100">
        <v>5.9</v>
      </c>
      <c r="R100" s="3">
        <f t="shared" si="4"/>
        <v>43490.85</v>
      </c>
      <c r="S100">
        <f t="shared" si="6"/>
        <v>270</v>
      </c>
      <c r="T100">
        <f t="shared" si="5"/>
        <v>270</v>
      </c>
    </row>
    <row r="101" spans="1:20" hidden="1">
      <c r="A101" t="s">
        <v>880</v>
      </c>
      <c r="B101" t="s">
        <v>18</v>
      </c>
      <c r="C101" t="s">
        <v>19</v>
      </c>
      <c r="D101" t="s">
        <v>27</v>
      </c>
      <c r="E101" t="s">
        <v>177</v>
      </c>
      <c r="F101" t="s">
        <v>45</v>
      </c>
      <c r="G101">
        <v>21.32</v>
      </c>
      <c r="H101">
        <v>1</v>
      </c>
      <c r="I101">
        <v>1.0660000000000001</v>
      </c>
      <c r="J101">
        <v>22.385999999999999</v>
      </c>
      <c r="K101" s="1">
        <v>43491</v>
      </c>
      <c r="L101" s="2">
        <v>0.52986111111111112</v>
      </c>
      <c r="M101" t="s">
        <v>29</v>
      </c>
      <c r="N101">
        <v>21.32</v>
      </c>
      <c r="O101">
        <v>4.7619047620000003</v>
      </c>
      <c r="P101">
        <v>1.0660000000000001</v>
      </c>
      <c r="Q101">
        <v>5.9</v>
      </c>
      <c r="R101" s="3">
        <f t="shared" si="4"/>
        <v>43491.529861111114</v>
      </c>
      <c r="S101" t="str">
        <f t="shared" si="6"/>
        <v/>
      </c>
      <c r="T101" t="str">
        <f t="shared" si="5"/>
        <v/>
      </c>
    </row>
    <row r="102" spans="1:20">
      <c r="A102" t="s">
        <v>665</v>
      </c>
      <c r="B102" t="s">
        <v>18</v>
      </c>
      <c r="C102" t="s">
        <v>19</v>
      </c>
      <c r="D102" t="s">
        <v>27</v>
      </c>
      <c r="E102" t="s">
        <v>21</v>
      </c>
      <c r="F102" t="s">
        <v>45</v>
      </c>
      <c r="G102">
        <v>12.09</v>
      </c>
      <c r="H102">
        <v>1</v>
      </c>
      <c r="I102">
        <v>0.60450000000000004</v>
      </c>
      <c r="J102">
        <v>12.6945</v>
      </c>
      <c r="K102" s="1">
        <v>43491</v>
      </c>
      <c r="L102" s="2">
        <v>0.7631944444444444</v>
      </c>
      <c r="M102" t="s">
        <v>32</v>
      </c>
      <c r="N102">
        <v>12.09</v>
      </c>
      <c r="O102">
        <v>4.7619047620000003</v>
      </c>
      <c r="P102">
        <v>0.60450000000000004</v>
      </c>
      <c r="Q102">
        <v>8.1999999999999993</v>
      </c>
      <c r="R102" s="3">
        <f t="shared" si="4"/>
        <v>43491.763194444444</v>
      </c>
      <c r="S102">
        <f t="shared" si="6"/>
        <v>335.99999999511056</v>
      </c>
      <c r="T102">
        <f t="shared" si="5"/>
        <v>336</v>
      </c>
    </row>
    <row r="103" spans="1:20">
      <c r="A103" t="s">
        <v>387</v>
      </c>
      <c r="B103" t="s">
        <v>18</v>
      </c>
      <c r="C103" t="s">
        <v>19</v>
      </c>
      <c r="D103" t="s">
        <v>27</v>
      </c>
      <c r="E103" t="s">
        <v>177</v>
      </c>
      <c r="F103" t="s">
        <v>28</v>
      </c>
      <c r="G103">
        <v>51.69</v>
      </c>
      <c r="H103">
        <v>7</v>
      </c>
      <c r="I103">
        <v>18.0915</v>
      </c>
      <c r="J103">
        <v>379.92149999999998</v>
      </c>
      <c r="K103" s="1">
        <v>43491</v>
      </c>
      <c r="L103" s="2">
        <v>0.76527777777777772</v>
      </c>
      <c r="M103" t="s">
        <v>29</v>
      </c>
      <c r="N103">
        <v>361.83</v>
      </c>
      <c r="O103">
        <v>4.7619047620000003</v>
      </c>
      <c r="P103">
        <v>18.0915</v>
      </c>
      <c r="Q103">
        <v>5.5</v>
      </c>
      <c r="R103" s="3">
        <f t="shared" si="4"/>
        <v>43491.765277777777</v>
      </c>
      <c r="S103">
        <f t="shared" si="6"/>
        <v>2.9999999993015081</v>
      </c>
      <c r="T103">
        <f t="shared" si="5"/>
        <v>3</v>
      </c>
    </row>
    <row r="104" spans="1:20" hidden="1">
      <c r="A104" t="s">
        <v>161</v>
      </c>
      <c r="B104" t="s">
        <v>18</v>
      </c>
      <c r="C104" t="s">
        <v>19</v>
      </c>
      <c r="D104" t="s">
        <v>20</v>
      </c>
      <c r="E104" t="s">
        <v>21</v>
      </c>
      <c r="F104" t="s">
        <v>35</v>
      </c>
      <c r="G104">
        <v>32.25</v>
      </c>
      <c r="H104">
        <v>5</v>
      </c>
      <c r="I104">
        <v>8.0625</v>
      </c>
      <c r="J104">
        <v>169.3125</v>
      </c>
      <c r="K104" s="1">
        <v>43492</v>
      </c>
      <c r="L104" s="2">
        <v>0.55972222222222223</v>
      </c>
      <c r="M104" t="s">
        <v>29</v>
      </c>
      <c r="N104">
        <v>161.25</v>
      </c>
      <c r="O104">
        <v>4.7619047620000003</v>
      </c>
      <c r="P104">
        <v>8.0625</v>
      </c>
      <c r="Q104">
        <v>9</v>
      </c>
      <c r="R104" s="3">
        <f t="shared" si="4"/>
        <v>43492.55972222222</v>
      </c>
      <c r="S104" t="str">
        <f t="shared" si="6"/>
        <v/>
      </c>
      <c r="T104" t="str">
        <f t="shared" si="5"/>
        <v/>
      </c>
    </row>
    <row r="105" spans="1:20">
      <c r="A105" t="s">
        <v>560</v>
      </c>
      <c r="B105" t="s">
        <v>18</v>
      </c>
      <c r="C105" t="s">
        <v>19</v>
      </c>
      <c r="D105" t="s">
        <v>27</v>
      </c>
      <c r="E105" t="s">
        <v>177</v>
      </c>
      <c r="F105" t="s">
        <v>43</v>
      </c>
      <c r="G105">
        <v>81.709999999999994</v>
      </c>
      <c r="H105">
        <v>6</v>
      </c>
      <c r="I105">
        <v>24.513000000000002</v>
      </c>
      <c r="J105">
        <v>514.77300000000002</v>
      </c>
      <c r="K105" s="1">
        <v>43492</v>
      </c>
      <c r="L105" s="2">
        <v>0.60833333333333328</v>
      </c>
      <c r="M105" t="s">
        <v>32</v>
      </c>
      <c r="N105">
        <v>490.26</v>
      </c>
      <c r="O105">
        <v>4.7619047620000003</v>
      </c>
      <c r="P105">
        <v>24.513000000000002</v>
      </c>
      <c r="Q105">
        <v>8</v>
      </c>
      <c r="R105" s="3">
        <f t="shared" si="4"/>
        <v>43492.60833333333</v>
      </c>
      <c r="S105">
        <f t="shared" si="6"/>
        <v>69.999999997671694</v>
      </c>
      <c r="T105">
        <f t="shared" si="5"/>
        <v>70</v>
      </c>
    </row>
    <row r="106" spans="1:20">
      <c r="A106" t="s">
        <v>309</v>
      </c>
      <c r="B106" t="s">
        <v>18</v>
      </c>
      <c r="C106" t="s">
        <v>19</v>
      </c>
      <c r="D106" t="s">
        <v>27</v>
      </c>
      <c r="E106" t="s">
        <v>21</v>
      </c>
      <c r="F106" t="s">
        <v>31</v>
      </c>
      <c r="G106">
        <v>12.03</v>
      </c>
      <c r="H106">
        <v>2</v>
      </c>
      <c r="I106">
        <v>1.2030000000000001</v>
      </c>
      <c r="J106">
        <v>25.263000000000002</v>
      </c>
      <c r="K106" s="1">
        <v>43492</v>
      </c>
      <c r="L106" s="2">
        <v>0.66041666666666665</v>
      </c>
      <c r="M106" t="s">
        <v>29</v>
      </c>
      <c r="N106">
        <v>24.06</v>
      </c>
      <c r="O106">
        <v>4.7619047620000003</v>
      </c>
      <c r="P106">
        <v>1.2030000000000001</v>
      </c>
      <c r="Q106">
        <v>5.0999999999999996</v>
      </c>
      <c r="R106" s="3">
        <f t="shared" si="4"/>
        <v>43492.660416666666</v>
      </c>
      <c r="S106">
        <f t="shared" si="6"/>
        <v>75.00000000349246</v>
      </c>
      <c r="T106">
        <f t="shared" si="5"/>
        <v>75</v>
      </c>
    </row>
    <row r="107" spans="1:20">
      <c r="A107" t="s">
        <v>548</v>
      </c>
      <c r="B107" t="s">
        <v>18</v>
      </c>
      <c r="C107" t="s">
        <v>19</v>
      </c>
      <c r="D107" t="s">
        <v>27</v>
      </c>
      <c r="E107" t="s">
        <v>21</v>
      </c>
      <c r="F107" t="s">
        <v>45</v>
      </c>
      <c r="G107">
        <v>54.28</v>
      </c>
      <c r="H107">
        <v>7</v>
      </c>
      <c r="I107">
        <v>18.998000000000001</v>
      </c>
      <c r="J107">
        <v>398.95800000000003</v>
      </c>
      <c r="K107" s="1">
        <v>43492</v>
      </c>
      <c r="L107" s="2">
        <v>0.75347222222222221</v>
      </c>
      <c r="M107" t="s">
        <v>23</v>
      </c>
      <c r="N107">
        <v>379.96</v>
      </c>
      <c r="O107">
        <v>4.7619047620000003</v>
      </c>
      <c r="P107">
        <v>18.998000000000001</v>
      </c>
      <c r="Q107">
        <v>9.3000000000000007</v>
      </c>
      <c r="R107" s="3">
        <f t="shared" si="4"/>
        <v>43492.753472222219</v>
      </c>
      <c r="S107">
        <f t="shared" si="6"/>
        <v>133.99999999674037</v>
      </c>
      <c r="T107">
        <f t="shared" si="5"/>
        <v>134</v>
      </c>
    </row>
    <row r="108" spans="1:20">
      <c r="A108" t="s">
        <v>882</v>
      </c>
      <c r="B108" t="s">
        <v>18</v>
      </c>
      <c r="C108" t="s">
        <v>19</v>
      </c>
      <c r="D108" t="s">
        <v>20</v>
      </c>
      <c r="E108" t="s">
        <v>177</v>
      </c>
      <c r="F108" t="s">
        <v>28</v>
      </c>
      <c r="G108">
        <v>73.260000000000005</v>
      </c>
      <c r="H108">
        <v>1</v>
      </c>
      <c r="I108">
        <v>3.6629999999999998</v>
      </c>
      <c r="J108">
        <v>76.923000000000002</v>
      </c>
      <c r="K108" s="1">
        <v>43492</v>
      </c>
      <c r="L108" s="2">
        <v>0.75555555555555554</v>
      </c>
      <c r="M108" t="s">
        <v>23</v>
      </c>
      <c r="N108">
        <v>73.260000000000005</v>
      </c>
      <c r="O108">
        <v>4.7619047620000003</v>
      </c>
      <c r="P108">
        <v>3.6629999999999998</v>
      </c>
      <c r="Q108">
        <v>9.6999999999999993</v>
      </c>
      <c r="R108" s="3">
        <f t="shared" si="4"/>
        <v>43492.755555555559</v>
      </c>
      <c r="S108">
        <f t="shared" si="6"/>
        <v>3.000000009778887</v>
      </c>
      <c r="T108">
        <f t="shared" si="5"/>
        <v>3</v>
      </c>
    </row>
    <row r="109" spans="1:20">
      <c r="A109" t="s">
        <v>33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58.22</v>
      </c>
      <c r="H109">
        <v>8</v>
      </c>
      <c r="I109">
        <v>23.288</v>
      </c>
      <c r="J109">
        <v>489.048</v>
      </c>
      <c r="K109" s="1">
        <v>43492</v>
      </c>
      <c r="L109" s="2">
        <v>0.85624999999999996</v>
      </c>
      <c r="M109" t="s">
        <v>23</v>
      </c>
      <c r="N109">
        <v>465.76</v>
      </c>
      <c r="O109">
        <v>4.7619047620000003</v>
      </c>
      <c r="P109">
        <v>23.288</v>
      </c>
      <c r="Q109">
        <v>8.4</v>
      </c>
      <c r="R109" s="3">
        <f t="shared" si="4"/>
        <v>43492.856249999997</v>
      </c>
      <c r="S109">
        <f t="shared" si="6"/>
        <v>144.99999999068677</v>
      </c>
      <c r="T109">
        <f t="shared" si="5"/>
        <v>145</v>
      </c>
    </row>
    <row r="110" spans="1:20" hidden="1">
      <c r="A110" t="s">
        <v>939</v>
      </c>
      <c r="B110" t="s">
        <v>18</v>
      </c>
      <c r="C110" t="s">
        <v>19</v>
      </c>
      <c r="D110" t="s">
        <v>27</v>
      </c>
      <c r="E110" t="s">
        <v>177</v>
      </c>
      <c r="F110" t="s">
        <v>43</v>
      </c>
      <c r="G110">
        <v>11.53</v>
      </c>
      <c r="H110">
        <v>7</v>
      </c>
      <c r="I110">
        <v>4.0354999999999999</v>
      </c>
      <c r="J110">
        <v>84.745500000000007</v>
      </c>
      <c r="K110" s="1">
        <v>43493</v>
      </c>
      <c r="L110" s="2">
        <v>0.73263888888888884</v>
      </c>
      <c r="M110" t="s">
        <v>29</v>
      </c>
      <c r="N110">
        <v>80.709999999999994</v>
      </c>
      <c r="O110">
        <v>4.7619047620000003</v>
      </c>
      <c r="P110">
        <v>4.0354999999999999</v>
      </c>
      <c r="Q110">
        <v>8.1</v>
      </c>
      <c r="R110" s="3">
        <f t="shared" si="4"/>
        <v>43493.732638888891</v>
      </c>
      <c r="S110" t="str">
        <f t="shared" si="6"/>
        <v/>
      </c>
      <c r="T110" t="str">
        <f t="shared" si="5"/>
        <v/>
      </c>
    </row>
    <row r="111" spans="1:20">
      <c r="A111" t="s">
        <v>541</v>
      </c>
      <c r="B111" t="s">
        <v>18</v>
      </c>
      <c r="C111" t="s">
        <v>19</v>
      </c>
      <c r="D111" t="s">
        <v>20</v>
      </c>
      <c r="E111" t="s">
        <v>177</v>
      </c>
      <c r="F111" t="s">
        <v>28</v>
      </c>
      <c r="G111">
        <v>24.18</v>
      </c>
      <c r="H111">
        <v>8</v>
      </c>
      <c r="I111">
        <v>9.6720000000000006</v>
      </c>
      <c r="J111">
        <v>203.11199999999999</v>
      </c>
      <c r="K111" s="1">
        <v>43493</v>
      </c>
      <c r="L111" s="2">
        <v>0.87083333333333335</v>
      </c>
      <c r="M111" t="s">
        <v>23</v>
      </c>
      <c r="N111">
        <v>193.44</v>
      </c>
      <c r="O111">
        <v>4.7619047620000003</v>
      </c>
      <c r="P111">
        <v>9.6720000000000006</v>
      </c>
      <c r="Q111">
        <v>9.8000000000000007</v>
      </c>
      <c r="R111" s="3">
        <f t="shared" si="4"/>
        <v>43493.870833333334</v>
      </c>
      <c r="S111">
        <f t="shared" si="6"/>
        <v>198.99999999906868</v>
      </c>
      <c r="T111">
        <f t="shared" si="5"/>
        <v>199</v>
      </c>
    </row>
    <row r="112" spans="1:20" hidden="1">
      <c r="A112" t="s">
        <v>515</v>
      </c>
      <c r="B112" t="s">
        <v>18</v>
      </c>
      <c r="C112" t="s">
        <v>19</v>
      </c>
      <c r="D112" t="s">
        <v>27</v>
      </c>
      <c r="E112" t="s">
        <v>177</v>
      </c>
      <c r="F112" t="s">
        <v>28</v>
      </c>
      <c r="G112">
        <v>38.6</v>
      </c>
      <c r="H112">
        <v>1</v>
      </c>
      <c r="I112">
        <v>1.93</v>
      </c>
      <c r="J112">
        <v>40.53</v>
      </c>
      <c r="K112" s="1">
        <v>43494</v>
      </c>
      <c r="L112" s="2">
        <v>0.47638888888888886</v>
      </c>
      <c r="M112" t="s">
        <v>23</v>
      </c>
      <c r="N112">
        <v>38.6</v>
      </c>
      <c r="O112">
        <v>4.7619047620000003</v>
      </c>
      <c r="P112">
        <v>1.93</v>
      </c>
      <c r="Q112">
        <v>6.7</v>
      </c>
      <c r="R112" s="3">
        <f t="shared" si="4"/>
        <v>43494.476388888892</v>
      </c>
      <c r="S112" t="str">
        <f t="shared" si="6"/>
        <v/>
      </c>
      <c r="T112" t="str">
        <f t="shared" si="5"/>
        <v/>
      </c>
    </row>
    <row r="113" spans="1:20">
      <c r="A113" t="s">
        <v>188</v>
      </c>
      <c r="B113" t="s">
        <v>18</v>
      </c>
      <c r="C113" t="s">
        <v>19</v>
      </c>
      <c r="D113" t="s">
        <v>27</v>
      </c>
      <c r="E113" t="s">
        <v>177</v>
      </c>
      <c r="F113" t="s">
        <v>45</v>
      </c>
      <c r="G113">
        <v>83.24</v>
      </c>
      <c r="H113">
        <v>9</v>
      </c>
      <c r="I113">
        <v>37.457999999999998</v>
      </c>
      <c r="J113">
        <v>786.61800000000005</v>
      </c>
      <c r="K113" s="1">
        <v>43494</v>
      </c>
      <c r="L113" s="2">
        <v>0.49722222222222223</v>
      </c>
      <c r="M113" t="s">
        <v>32</v>
      </c>
      <c r="N113">
        <v>749.16</v>
      </c>
      <c r="O113">
        <v>4.7619047620000003</v>
      </c>
      <c r="P113">
        <v>37.457999999999998</v>
      </c>
      <c r="Q113">
        <v>7.4</v>
      </c>
      <c r="R113" s="3">
        <f t="shared" si="4"/>
        <v>43494.49722222222</v>
      </c>
      <c r="S113">
        <f t="shared" si="6"/>
        <v>29.999999993015081</v>
      </c>
      <c r="T113">
        <f t="shared" si="5"/>
        <v>30</v>
      </c>
    </row>
    <row r="114" spans="1:20">
      <c r="A114" t="s">
        <v>694</v>
      </c>
      <c r="B114" t="s">
        <v>18</v>
      </c>
      <c r="C114" t="s">
        <v>19</v>
      </c>
      <c r="D114" t="s">
        <v>20</v>
      </c>
      <c r="E114" t="s">
        <v>21</v>
      </c>
      <c r="F114" t="s">
        <v>35</v>
      </c>
      <c r="G114">
        <v>27.93</v>
      </c>
      <c r="H114">
        <v>5</v>
      </c>
      <c r="I114">
        <v>6.9824999999999999</v>
      </c>
      <c r="J114">
        <v>146.63249999999999</v>
      </c>
      <c r="K114" s="1">
        <v>43494</v>
      </c>
      <c r="L114" s="2">
        <v>0.65833333333333333</v>
      </c>
      <c r="M114" t="s">
        <v>29</v>
      </c>
      <c r="N114">
        <v>139.65</v>
      </c>
      <c r="O114">
        <v>4.7619047620000003</v>
      </c>
      <c r="P114">
        <v>6.9824999999999999</v>
      </c>
      <c r="Q114">
        <v>5.9</v>
      </c>
      <c r="R114" s="3">
        <f t="shared" si="4"/>
        <v>43494.658333333333</v>
      </c>
      <c r="S114">
        <f t="shared" si="6"/>
        <v>232.00000000186265</v>
      </c>
      <c r="T114">
        <f t="shared" si="5"/>
        <v>232</v>
      </c>
    </row>
    <row r="115" spans="1:20">
      <c r="A115" t="s">
        <v>861</v>
      </c>
      <c r="B115" t="s">
        <v>18</v>
      </c>
      <c r="C115" t="s">
        <v>19</v>
      </c>
      <c r="D115" t="s">
        <v>20</v>
      </c>
      <c r="E115" t="s">
        <v>21</v>
      </c>
      <c r="F115" t="s">
        <v>35</v>
      </c>
      <c r="G115">
        <v>22.01</v>
      </c>
      <c r="H115">
        <v>4</v>
      </c>
      <c r="I115">
        <v>4.4020000000000001</v>
      </c>
      <c r="J115">
        <v>92.441999999999993</v>
      </c>
      <c r="K115" s="1">
        <v>43494</v>
      </c>
      <c r="L115" s="2">
        <v>0.76041666666666663</v>
      </c>
      <c r="M115" t="s">
        <v>32</v>
      </c>
      <c r="N115">
        <v>88.04</v>
      </c>
      <c r="O115">
        <v>4.7619047620000003</v>
      </c>
      <c r="P115">
        <v>4.4020000000000001</v>
      </c>
      <c r="Q115">
        <v>6.6</v>
      </c>
      <c r="R115" s="3">
        <f t="shared" si="4"/>
        <v>43494.760416666664</v>
      </c>
      <c r="S115">
        <f t="shared" si="6"/>
        <v>146.99999999720603</v>
      </c>
      <c r="T115">
        <f t="shared" si="5"/>
        <v>147</v>
      </c>
    </row>
    <row r="116" spans="1:20">
      <c r="A116" t="s">
        <v>731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87.37</v>
      </c>
      <c r="H116">
        <v>5</v>
      </c>
      <c r="I116">
        <v>21.842500000000001</v>
      </c>
      <c r="J116">
        <v>458.6925</v>
      </c>
      <c r="K116" s="1">
        <v>43494</v>
      </c>
      <c r="L116" s="2">
        <v>0.82291666666666663</v>
      </c>
      <c r="M116" t="s">
        <v>29</v>
      </c>
      <c r="N116">
        <v>436.85</v>
      </c>
      <c r="O116">
        <v>4.7619047620000003</v>
      </c>
      <c r="P116">
        <v>21.842500000000001</v>
      </c>
      <c r="Q116">
        <v>6.6</v>
      </c>
      <c r="R116" s="3">
        <f t="shared" si="4"/>
        <v>43494.822916666664</v>
      </c>
      <c r="S116">
        <f t="shared" si="6"/>
        <v>90</v>
      </c>
      <c r="T116">
        <f t="shared" si="5"/>
        <v>90</v>
      </c>
    </row>
    <row r="117" spans="1:20" hidden="1">
      <c r="A117" t="s">
        <v>881</v>
      </c>
      <c r="B117" t="s">
        <v>18</v>
      </c>
      <c r="C117" t="s">
        <v>19</v>
      </c>
      <c r="D117" t="s">
        <v>20</v>
      </c>
      <c r="E117" t="s">
        <v>177</v>
      </c>
      <c r="F117" t="s">
        <v>28</v>
      </c>
      <c r="G117">
        <v>93.78</v>
      </c>
      <c r="H117">
        <v>3</v>
      </c>
      <c r="I117">
        <v>14.067</v>
      </c>
      <c r="J117">
        <v>295.40699999999998</v>
      </c>
      <c r="K117" s="1">
        <v>43495</v>
      </c>
      <c r="L117" s="2">
        <v>0.48055555555555557</v>
      </c>
      <c r="M117" t="s">
        <v>32</v>
      </c>
      <c r="N117">
        <v>281.33999999999997</v>
      </c>
      <c r="O117">
        <v>4.7619047620000003</v>
      </c>
      <c r="P117">
        <v>14.067</v>
      </c>
      <c r="Q117">
        <v>5.9</v>
      </c>
      <c r="R117" s="3">
        <f t="shared" si="4"/>
        <v>43495.480555555558</v>
      </c>
      <c r="S117" t="str">
        <f t="shared" si="6"/>
        <v/>
      </c>
      <c r="T117" t="str">
        <f t="shared" si="5"/>
        <v/>
      </c>
    </row>
    <row r="118" spans="1:20" hidden="1">
      <c r="A118" t="s">
        <v>949</v>
      </c>
      <c r="B118" t="s">
        <v>18</v>
      </c>
      <c r="C118" t="s">
        <v>19</v>
      </c>
      <c r="D118" t="s">
        <v>20</v>
      </c>
      <c r="E118" t="s">
        <v>177</v>
      </c>
      <c r="F118" t="s">
        <v>45</v>
      </c>
      <c r="G118">
        <v>51.34</v>
      </c>
      <c r="H118">
        <v>8</v>
      </c>
      <c r="I118">
        <v>20.536000000000001</v>
      </c>
      <c r="J118">
        <v>431.25599999999997</v>
      </c>
      <c r="K118" s="1">
        <v>43496</v>
      </c>
      <c r="L118" s="2">
        <v>0.41666666666666669</v>
      </c>
      <c r="M118" t="s">
        <v>23</v>
      </c>
      <c r="N118">
        <v>410.72</v>
      </c>
      <c r="O118">
        <v>4.7619047620000003</v>
      </c>
      <c r="P118">
        <v>20.536000000000001</v>
      </c>
      <c r="Q118">
        <v>7.6</v>
      </c>
      <c r="R118" s="3">
        <f t="shared" si="4"/>
        <v>43496.416666666664</v>
      </c>
      <c r="S118" t="str">
        <f t="shared" si="6"/>
        <v/>
      </c>
      <c r="T118" t="str">
        <f t="shared" si="5"/>
        <v/>
      </c>
    </row>
    <row r="119" spans="1:20">
      <c r="A119" t="s">
        <v>292</v>
      </c>
      <c r="B119" t="s">
        <v>18</v>
      </c>
      <c r="C119" t="s">
        <v>19</v>
      </c>
      <c r="D119" t="s">
        <v>20</v>
      </c>
      <c r="E119" t="s">
        <v>177</v>
      </c>
      <c r="F119" t="s">
        <v>28</v>
      </c>
      <c r="G119">
        <v>66.349999999999994</v>
      </c>
      <c r="H119">
        <v>1</v>
      </c>
      <c r="I119">
        <v>3.3174999999999999</v>
      </c>
      <c r="J119">
        <v>69.667500000000004</v>
      </c>
      <c r="K119" s="1">
        <v>43496</v>
      </c>
      <c r="L119" s="2">
        <v>0.44861111111111113</v>
      </c>
      <c r="M119" t="s">
        <v>32</v>
      </c>
      <c r="N119">
        <v>66.349999999999994</v>
      </c>
      <c r="O119">
        <v>4.7619047620000003</v>
      </c>
      <c r="P119">
        <v>3.3174999999999999</v>
      </c>
      <c r="Q119">
        <v>9.6999999999999993</v>
      </c>
      <c r="R119" s="3">
        <f t="shared" si="4"/>
        <v>43496.448611111111</v>
      </c>
      <c r="S119">
        <f t="shared" si="6"/>
        <v>46.000000003259629</v>
      </c>
      <c r="T119">
        <f t="shared" si="5"/>
        <v>46</v>
      </c>
    </row>
    <row r="120" spans="1:20">
      <c r="A120" t="s">
        <v>490</v>
      </c>
      <c r="B120" t="s">
        <v>18</v>
      </c>
      <c r="C120" t="s">
        <v>19</v>
      </c>
      <c r="D120" t="s">
        <v>20</v>
      </c>
      <c r="E120" t="s">
        <v>177</v>
      </c>
      <c r="F120" t="s">
        <v>28</v>
      </c>
      <c r="G120">
        <v>20.77</v>
      </c>
      <c r="H120">
        <v>4</v>
      </c>
      <c r="I120">
        <v>4.1539999999999999</v>
      </c>
      <c r="J120">
        <v>87.233999999999995</v>
      </c>
      <c r="K120" s="1">
        <v>43496</v>
      </c>
      <c r="L120" s="2">
        <v>0.57430555555555551</v>
      </c>
      <c r="M120" t="s">
        <v>29</v>
      </c>
      <c r="N120">
        <v>83.08</v>
      </c>
      <c r="O120">
        <v>4.7619047620000003</v>
      </c>
      <c r="P120">
        <v>4.1539999999999999</v>
      </c>
      <c r="Q120">
        <v>4.7</v>
      </c>
      <c r="R120" s="3">
        <f t="shared" si="4"/>
        <v>43496.574305555558</v>
      </c>
      <c r="S120">
        <f t="shared" si="6"/>
        <v>181.00000000325963</v>
      </c>
      <c r="T120">
        <f t="shared" si="5"/>
        <v>181</v>
      </c>
    </row>
    <row r="121" spans="1:20" hidden="1">
      <c r="A121" t="s">
        <v>348</v>
      </c>
      <c r="B121" t="s">
        <v>18</v>
      </c>
      <c r="C121" t="s">
        <v>19</v>
      </c>
      <c r="D121" t="s">
        <v>20</v>
      </c>
      <c r="E121" t="s">
        <v>21</v>
      </c>
      <c r="F121" t="s">
        <v>43</v>
      </c>
      <c r="G121">
        <v>14.23</v>
      </c>
      <c r="H121">
        <v>5</v>
      </c>
      <c r="I121">
        <v>3.5575000000000001</v>
      </c>
      <c r="J121">
        <v>74.707499999999996</v>
      </c>
      <c r="K121" s="1">
        <v>43497</v>
      </c>
      <c r="L121" s="2">
        <v>0.42222222222222222</v>
      </c>
      <c r="M121" t="s">
        <v>32</v>
      </c>
      <c r="N121">
        <v>71.150000000000006</v>
      </c>
      <c r="O121">
        <v>4.7619047620000003</v>
      </c>
      <c r="P121">
        <v>3.5575000000000001</v>
      </c>
      <c r="Q121">
        <v>4.4000000000000004</v>
      </c>
      <c r="R121" s="3">
        <f t="shared" si="4"/>
        <v>43497.422222222223</v>
      </c>
      <c r="S121" t="str">
        <f t="shared" si="6"/>
        <v/>
      </c>
      <c r="T121" t="str">
        <f t="shared" si="5"/>
        <v/>
      </c>
    </row>
    <row r="122" spans="1:20">
      <c r="A122" t="s">
        <v>205</v>
      </c>
      <c r="B122" t="s">
        <v>18</v>
      </c>
      <c r="C122" t="s">
        <v>19</v>
      </c>
      <c r="D122" t="s">
        <v>20</v>
      </c>
      <c r="E122" t="s">
        <v>177</v>
      </c>
      <c r="F122" t="s">
        <v>35</v>
      </c>
      <c r="G122">
        <v>69.52</v>
      </c>
      <c r="H122">
        <v>7</v>
      </c>
      <c r="I122">
        <v>24.332000000000001</v>
      </c>
      <c r="J122">
        <v>510.97199999999998</v>
      </c>
      <c r="K122" s="1">
        <v>43497</v>
      </c>
      <c r="L122" s="2">
        <v>0.63194444444444442</v>
      </c>
      <c r="M122" t="s">
        <v>32</v>
      </c>
      <c r="N122">
        <v>486.64</v>
      </c>
      <c r="O122">
        <v>4.7619047620000003</v>
      </c>
      <c r="P122">
        <v>24.332000000000001</v>
      </c>
      <c r="Q122">
        <v>8.5</v>
      </c>
      <c r="R122" s="3">
        <f t="shared" si="4"/>
        <v>43497.631944444445</v>
      </c>
      <c r="S122">
        <f t="shared" si="6"/>
        <v>301.99999999953434</v>
      </c>
      <c r="T122">
        <f t="shared" si="5"/>
        <v>302</v>
      </c>
    </row>
    <row r="123" spans="1:20">
      <c r="A123" t="s">
        <v>617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77.680000000000007</v>
      </c>
      <c r="H123">
        <v>4</v>
      </c>
      <c r="I123">
        <v>15.536</v>
      </c>
      <c r="J123">
        <v>326.25599999999997</v>
      </c>
      <c r="K123" s="1">
        <v>43497</v>
      </c>
      <c r="L123" s="2">
        <v>0.82916666666666672</v>
      </c>
      <c r="M123" t="s">
        <v>29</v>
      </c>
      <c r="N123">
        <v>310.72000000000003</v>
      </c>
      <c r="O123">
        <v>4.7619047620000003</v>
      </c>
      <c r="P123">
        <v>15.536</v>
      </c>
      <c r="Q123">
        <v>8.4</v>
      </c>
      <c r="R123" s="3">
        <f t="shared" si="4"/>
        <v>43497.82916666667</v>
      </c>
      <c r="S123">
        <f t="shared" si="6"/>
        <v>284.00000000372529</v>
      </c>
      <c r="T123">
        <f t="shared" si="5"/>
        <v>284</v>
      </c>
    </row>
    <row r="124" spans="1:20" hidden="1">
      <c r="A124" t="s">
        <v>535</v>
      </c>
      <c r="B124" t="s">
        <v>18</v>
      </c>
      <c r="C124" t="s">
        <v>19</v>
      </c>
      <c r="D124" t="s">
        <v>20</v>
      </c>
      <c r="E124" t="s">
        <v>21</v>
      </c>
      <c r="F124" t="s">
        <v>35</v>
      </c>
      <c r="G124">
        <v>51.52</v>
      </c>
      <c r="H124">
        <v>8</v>
      </c>
      <c r="I124">
        <v>20.608000000000001</v>
      </c>
      <c r="J124">
        <v>432.76799999999997</v>
      </c>
      <c r="K124" s="1">
        <v>43498</v>
      </c>
      <c r="L124" s="2">
        <v>0.65763888888888888</v>
      </c>
      <c r="M124" t="s">
        <v>29</v>
      </c>
      <c r="N124">
        <v>412.16</v>
      </c>
      <c r="O124">
        <v>4.7619047620000003</v>
      </c>
      <c r="P124">
        <v>20.608000000000001</v>
      </c>
      <c r="Q124">
        <v>9.6</v>
      </c>
      <c r="R124" s="3">
        <f t="shared" si="4"/>
        <v>43498.657638888886</v>
      </c>
      <c r="S124" t="str">
        <f t="shared" si="6"/>
        <v/>
      </c>
      <c r="T124" t="str">
        <f t="shared" si="5"/>
        <v/>
      </c>
    </row>
    <row r="125" spans="1:20">
      <c r="A125" t="s">
        <v>508</v>
      </c>
      <c r="B125" t="s">
        <v>18</v>
      </c>
      <c r="C125" t="s">
        <v>19</v>
      </c>
      <c r="D125" t="s">
        <v>20</v>
      </c>
      <c r="E125" t="s">
        <v>177</v>
      </c>
      <c r="F125" t="s">
        <v>45</v>
      </c>
      <c r="G125">
        <v>43.13</v>
      </c>
      <c r="H125">
        <v>10</v>
      </c>
      <c r="I125">
        <v>21.565000000000001</v>
      </c>
      <c r="J125">
        <v>452.86500000000001</v>
      </c>
      <c r="K125" s="1">
        <v>43498</v>
      </c>
      <c r="L125" s="2">
        <v>0.77152777777777781</v>
      </c>
      <c r="M125" t="s">
        <v>32</v>
      </c>
      <c r="N125">
        <v>431.3</v>
      </c>
      <c r="O125">
        <v>4.7619047620000003</v>
      </c>
      <c r="P125">
        <v>21.565000000000001</v>
      </c>
      <c r="Q125">
        <v>5.5</v>
      </c>
      <c r="R125" s="3">
        <f t="shared" si="4"/>
        <v>43498.771527777775</v>
      </c>
      <c r="S125">
        <f t="shared" si="6"/>
        <v>164.00000000023283</v>
      </c>
      <c r="T125">
        <f t="shared" si="5"/>
        <v>164</v>
      </c>
    </row>
    <row r="126" spans="1:20">
      <c r="A126" t="s">
        <v>104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18.329999999999998</v>
      </c>
      <c r="H126">
        <v>1</v>
      </c>
      <c r="I126">
        <v>0.91649999999999998</v>
      </c>
      <c r="J126">
        <v>19.246500000000001</v>
      </c>
      <c r="K126" s="1">
        <v>43498</v>
      </c>
      <c r="L126" s="2">
        <v>0.78472222222222221</v>
      </c>
      <c r="M126" t="s">
        <v>29</v>
      </c>
      <c r="N126">
        <v>18.329999999999998</v>
      </c>
      <c r="O126">
        <v>4.7619047620000003</v>
      </c>
      <c r="P126">
        <v>0.91649999999999998</v>
      </c>
      <c r="Q126">
        <v>4.3</v>
      </c>
      <c r="R126" s="3">
        <f t="shared" si="4"/>
        <v>43498.784722222219</v>
      </c>
      <c r="S126">
        <f t="shared" si="6"/>
        <v>18.999999999068677</v>
      </c>
      <c r="T126">
        <f t="shared" si="5"/>
        <v>19</v>
      </c>
    </row>
    <row r="127" spans="1:20">
      <c r="A127" t="s">
        <v>153</v>
      </c>
      <c r="B127" t="s">
        <v>18</v>
      </c>
      <c r="C127" t="s">
        <v>19</v>
      </c>
      <c r="D127" t="s">
        <v>20</v>
      </c>
      <c r="E127" t="s">
        <v>21</v>
      </c>
      <c r="F127" t="s">
        <v>43</v>
      </c>
      <c r="G127">
        <v>10.96</v>
      </c>
      <c r="H127">
        <v>10</v>
      </c>
      <c r="I127">
        <v>5.48</v>
      </c>
      <c r="J127">
        <v>115.08</v>
      </c>
      <c r="K127" s="1">
        <v>43498</v>
      </c>
      <c r="L127" s="2">
        <v>0.8666666666666667</v>
      </c>
      <c r="M127" t="s">
        <v>23</v>
      </c>
      <c r="N127">
        <v>109.6</v>
      </c>
      <c r="O127">
        <v>4.7619047620000003</v>
      </c>
      <c r="P127">
        <v>5.48</v>
      </c>
      <c r="Q127">
        <v>6</v>
      </c>
      <c r="R127" s="3">
        <f t="shared" si="4"/>
        <v>43498.866666666669</v>
      </c>
      <c r="S127">
        <f t="shared" si="6"/>
        <v>118.00000000745058</v>
      </c>
      <c r="T127">
        <f t="shared" si="5"/>
        <v>118</v>
      </c>
    </row>
    <row r="128" spans="1:20" hidden="1">
      <c r="A128" t="s">
        <v>787</v>
      </c>
      <c r="B128" t="s">
        <v>18</v>
      </c>
      <c r="C128" t="s">
        <v>19</v>
      </c>
      <c r="D128" t="s">
        <v>27</v>
      </c>
      <c r="E128" t="s">
        <v>21</v>
      </c>
      <c r="F128" t="s">
        <v>43</v>
      </c>
      <c r="G128">
        <v>27.28</v>
      </c>
      <c r="H128">
        <v>5</v>
      </c>
      <c r="I128">
        <v>6.82</v>
      </c>
      <c r="J128">
        <v>143.22</v>
      </c>
      <c r="K128" s="1">
        <v>43499</v>
      </c>
      <c r="L128" s="2">
        <v>0.43819444444444444</v>
      </c>
      <c r="M128" t="s">
        <v>32</v>
      </c>
      <c r="N128">
        <v>136.4</v>
      </c>
      <c r="O128">
        <v>4.7619047620000003</v>
      </c>
      <c r="P128">
        <v>6.82</v>
      </c>
      <c r="Q128">
        <v>8.6</v>
      </c>
      <c r="R128" s="3">
        <f t="shared" si="4"/>
        <v>43499.438194444447</v>
      </c>
      <c r="S128" t="str">
        <f t="shared" si="6"/>
        <v/>
      </c>
      <c r="T128" t="str">
        <f t="shared" si="5"/>
        <v/>
      </c>
    </row>
    <row r="129" spans="1:20">
      <c r="A129" t="s">
        <v>650</v>
      </c>
      <c r="B129" t="s">
        <v>18</v>
      </c>
      <c r="C129" t="s">
        <v>19</v>
      </c>
      <c r="D129" t="s">
        <v>20</v>
      </c>
      <c r="E129" t="s">
        <v>177</v>
      </c>
      <c r="F129" t="s">
        <v>43</v>
      </c>
      <c r="G129">
        <v>67.45</v>
      </c>
      <c r="H129">
        <v>10</v>
      </c>
      <c r="I129">
        <v>33.725000000000001</v>
      </c>
      <c r="J129">
        <v>708.22500000000002</v>
      </c>
      <c r="K129" s="1">
        <v>43499</v>
      </c>
      <c r="L129" s="2">
        <v>0.47569444444444442</v>
      </c>
      <c r="M129" t="s">
        <v>23</v>
      </c>
      <c r="N129">
        <v>674.5</v>
      </c>
      <c r="O129">
        <v>4.7619047620000003</v>
      </c>
      <c r="P129">
        <v>33.725000000000001</v>
      </c>
      <c r="Q129">
        <v>4.2</v>
      </c>
      <c r="R129" s="3">
        <f t="shared" si="4"/>
        <v>43499.475694444445</v>
      </c>
      <c r="S129">
        <f t="shared" si="6"/>
        <v>53.999999997904524</v>
      </c>
      <c r="T129">
        <f t="shared" si="5"/>
        <v>54</v>
      </c>
    </row>
    <row r="130" spans="1:20">
      <c r="A130" t="s">
        <v>325</v>
      </c>
      <c r="B130" t="s">
        <v>18</v>
      </c>
      <c r="C130" t="s">
        <v>19</v>
      </c>
      <c r="D130" t="s">
        <v>20</v>
      </c>
      <c r="E130" t="s">
        <v>21</v>
      </c>
      <c r="F130" t="s">
        <v>31</v>
      </c>
      <c r="G130">
        <v>94.88</v>
      </c>
      <c r="H130">
        <v>7</v>
      </c>
      <c r="I130">
        <v>33.207999999999998</v>
      </c>
      <c r="J130">
        <v>697.36800000000005</v>
      </c>
      <c r="K130" s="1">
        <v>43499</v>
      </c>
      <c r="L130" s="2">
        <v>0.60972222222222228</v>
      </c>
      <c r="M130" t="s">
        <v>29</v>
      </c>
      <c r="N130">
        <v>664.16</v>
      </c>
      <c r="O130">
        <v>4.7619047620000003</v>
      </c>
      <c r="P130">
        <v>33.207999999999998</v>
      </c>
      <c r="Q130">
        <v>4.2</v>
      </c>
      <c r="R130" s="3">
        <f t="shared" ref="R130:R193" si="7">K130+L130</f>
        <v>43499.609722222223</v>
      </c>
      <c r="S130">
        <f t="shared" si="6"/>
        <v>193.00000000046566</v>
      </c>
      <c r="T130">
        <f t="shared" si="5"/>
        <v>193</v>
      </c>
    </row>
    <row r="131" spans="1:20">
      <c r="A131" t="s">
        <v>368</v>
      </c>
      <c r="B131" t="s">
        <v>18</v>
      </c>
      <c r="C131" t="s">
        <v>19</v>
      </c>
      <c r="D131" t="s">
        <v>27</v>
      </c>
      <c r="E131" t="s">
        <v>177</v>
      </c>
      <c r="F131" t="s">
        <v>45</v>
      </c>
      <c r="G131">
        <v>77.02</v>
      </c>
      <c r="H131">
        <v>5</v>
      </c>
      <c r="I131">
        <v>19.254999999999999</v>
      </c>
      <c r="J131">
        <v>404.35500000000002</v>
      </c>
      <c r="K131" s="1">
        <v>43499</v>
      </c>
      <c r="L131" s="2">
        <v>0.66597222222222219</v>
      </c>
      <c r="M131" t="s">
        <v>29</v>
      </c>
      <c r="N131">
        <v>385.1</v>
      </c>
      <c r="O131">
        <v>4.7619047620000003</v>
      </c>
      <c r="P131">
        <v>19.254999999999999</v>
      </c>
      <c r="Q131">
        <v>5.5</v>
      </c>
      <c r="R131" s="3">
        <f t="shared" si="7"/>
        <v>43499.665972222225</v>
      </c>
      <c r="S131">
        <f t="shared" si="6"/>
        <v>81.000000002095476</v>
      </c>
      <c r="T131">
        <f t="shared" ref="T131:T194" si="8">IF(S131="","",ROUND(S131,2))</f>
        <v>81</v>
      </c>
    </row>
    <row r="132" spans="1:20">
      <c r="A132" t="s">
        <v>688</v>
      </c>
      <c r="B132" t="s">
        <v>18</v>
      </c>
      <c r="C132" t="s">
        <v>19</v>
      </c>
      <c r="D132" t="s">
        <v>20</v>
      </c>
      <c r="E132" t="s">
        <v>177</v>
      </c>
      <c r="F132" t="s">
        <v>31</v>
      </c>
      <c r="G132">
        <v>72.78</v>
      </c>
      <c r="H132">
        <v>10</v>
      </c>
      <c r="I132">
        <v>36.39</v>
      </c>
      <c r="J132">
        <v>764.19</v>
      </c>
      <c r="K132" s="1">
        <v>43499</v>
      </c>
      <c r="L132" s="2">
        <v>0.72499999999999998</v>
      </c>
      <c r="M132" t="s">
        <v>29</v>
      </c>
      <c r="N132">
        <v>727.8</v>
      </c>
      <c r="O132">
        <v>4.7619047620000003</v>
      </c>
      <c r="P132">
        <v>36.39</v>
      </c>
      <c r="Q132">
        <v>7.3</v>
      </c>
      <c r="R132" s="3">
        <f t="shared" si="7"/>
        <v>43499.724999999999</v>
      </c>
      <c r="S132">
        <f t="shared" si="6"/>
        <v>84.999999994179234</v>
      </c>
      <c r="T132">
        <f t="shared" si="8"/>
        <v>85</v>
      </c>
    </row>
    <row r="133" spans="1:20" hidden="1">
      <c r="A133" t="s">
        <v>455</v>
      </c>
      <c r="B133" t="s">
        <v>18</v>
      </c>
      <c r="C133" t="s">
        <v>19</v>
      </c>
      <c r="D133" t="s">
        <v>20</v>
      </c>
      <c r="E133" t="s">
        <v>21</v>
      </c>
      <c r="F133" t="s">
        <v>28</v>
      </c>
      <c r="G133">
        <v>25.22</v>
      </c>
      <c r="H133">
        <v>7</v>
      </c>
      <c r="I133">
        <v>8.827</v>
      </c>
      <c r="J133">
        <v>185.36699999999999</v>
      </c>
      <c r="K133" s="1">
        <v>43500</v>
      </c>
      <c r="L133" s="2">
        <v>0.43263888888888891</v>
      </c>
      <c r="M133" t="s">
        <v>29</v>
      </c>
      <c r="N133">
        <v>176.54</v>
      </c>
      <c r="O133">
        <v>4.7619047620000003</v>
      </c>
      <c r="P133">
        <v>8.827</v>
      </c>
      <c r="Q133">
        <v>8.1999999999999993</v>
      </c>
      <c r="R133" s="3">
        <f t="shared" si="7"/>
        <v>43500.432638888888</v>
      </c>
      <c r="S133" t="str">
        <f t="shared" si="6"/>
        <v/>
      </c>
      <c r="T133" t="str">
        <f t="shared" si="8"/>
        <v/>
      </c>
    </row>
    <row r="134" spans="1:20">
      <c r="A134" t="s">
        <v>382</v>
      </c>
      <c r="B134" t="s">
        <v>18</v>
      </c>
      <c r="C134" t="s">
        <v>19</v>
      </c>
      <c r="D134" t="s">
        <v>20</v>
      </c>
      <c r="E134" t="s">
        <v>177</v>
      </c>
      <c r="F134" t="s">
        <v>28</v>
      </c>
      <c r="G134">
        <v>71.95</v>
      </c>
      <c r="H134">
        <v>1</v>
      </c>
      <c r="I134">
        <v>3.5975000000000001</v>
      </c>
      <c r="J134">
        <v>75.547499999999999</v>
      </c>
      <c r="K134" s="1">
        <v>43500</v>
      </c>
      <c r="L134" s="2">
        <v>0.50972222222222219</v>
      </c>
      <c r="M134" t="s">
        <v>29</v>
      </c>
      <c r="N134">
        <v>71.95</v>
      </c>
      <c r="O134">
        <v>4.7619047620000003</v>
      </c>
      <c r="P134">
        <v>3.5975000000000001</v>
      </c>
      <c r="Q134">
        <v>7.3</v>
      </c>
      <c r="R134" s="3">
        <f t="shared" si="7"/>
        <v>43500.509722222225</v>
      </c>
      <c r="S134">
        <f t="shared" si="6"/>
        <v>111.00000000558794</v>
      </c>
      <c r="T134">
        <f t="shared" si="8"/>
        <v>111</v>
      </c>
    </row>
    <row r="135" spans="1:20">
      <c r="A135" t="s">
        <v>701</v>
      </c>
      <c r="B135" t="s">
        <v>18</v>
      </c>
      <c r="C135" t="s">
        <v>19</v>
      </c>
      <c r="D135" t="s">
        <v>27</v>
      </c>
      <c r="E135" t="s">
        <v>21</v>
      </c>
      <c r="F135" t="s">
        <v>45</v>
      </c>
      <c r="G135">
        <v>48.63</v>
      </c>
      <c r="H135">
        <v>4</v>
      </c>
      <c r="I135">
        <v>9.7260000000000009</v>
      </c>
      <c r="J135">
        <v>204.24600000000001</v>
      </c>
      <c r="K135" s="1">
        <v>43500</v>
      </c>
      <c r="L135" s="2">
        <v>0.65555555555555556</v>
      </c>
      <c r="M135" t="s">
        <v>23</v>
      </c>
      <c r="N135">
        <v>194.52</v>
      </c>
      <c r="O135">
        <v>4.7619047620000003</v>
      </c>
      <c r="P135">
        <v>9.7260000000000009</v>
      </c>
      <c r="Q135">
        <v>7.6</v>
      </c>
      <c r="R135" s="3">
        <f t="shared" si="7"/>
        <v>43500.655555555553</v>
      </c>
      <c r="S135">
        <f t="shared" si="6"/>
        <v>209.99999999301508</v>
      </c>
      <c r="T135">
        <f t="shared" si="8"/>
        <v>210</v>
      </c>
    </row>
    <row r="136" spans="1:20">
      <c r="A136" t="s">
        <v>821</v>
      </c>
      <c r="B136" t="s">
        <v>18</v>
      </c>
      <c r="C136" t="s">
        <v>19</v>
      </c>
      <c r="D136" t="s">
        <v>27</v>
      </c>
      <c r="E136" t="s">
        <v>177</v>
      </c>
      <c r="F136" t="s">
        <v>28</v>
      </c>
      <c r="G136">
        <v>74.58</v>
      </c>
      <c r="H136">
        <v>7</v>
      </c>
      <c r="I136">
        <v>26.103000000000002</v>
      </c>
      <c r="J136">
        <v>548.16300000000001</v>
      </c>
      <c r="K136" s="1">
        <v>43500</v>
      </c>
      <c r="L136" s="2">
        <v>0.67291666666666672</v>
      </c>
      <c r="M136" t="s">
        <v>32</v>
      </c>
      <c r="N136">
        <v>522.05999999999995</v>
      </c>
      <c r="O136">
        <v>4.7619047620000003</v>
      </c>
      <c r="P136">
        <v>26.103000000000002</v>
      </c>
      <c r="Q136">
        <v>9</v>
      </c>
      <c r="R136" s="3">
        <f t="shared" si="7"/>
        <v>43500.67291666667</v>
      </c>
      <c r="S136">
        <f t="shared" si="6"/>
        <v>25.000000008149073</v>
      </c>
      <c r="T136">
        <f t="shared" si="8"/>
        <v>25</v>
      </c>
    </row>
    <row r="137" spans="1:20">
      <c r="A137" t="s">
        <v>623</v>
      </c>
      <c r="B137" t="s">
        <v>18</v>
      </c>
      <c r="C137" t="s">
        <v>19</v>
      </c>
      <c r="D137" t="s">
        <v>27</v>
      </c>
      <c r="E137" t="s">
        <v>21</v>
      </c>
      <c r="F137" t="s">
        <v>35</v>
      </c>
      <c r="G137">
        <v>43.06</v>
      </c>
      <c r="H137">
        <v>5</v>
      </c>
      <c r="I137">
        <v>10.765000000000001</v>
      </c>
      <c r="J137">
        <v>226.065</v>
      </c>
      <c r="K137" s="1">
        <v>43500</v>
      </c>
      <c r="L137" s="2">
        <v>0.69305555555555554</v>
      </c>
      <c r="M137" t="s">
        <v>23</v>
      </c>
      <c r="N137">
        <v>215.3</v>
      </c>
      <c r="O137">
        <v>4.7619047620000003</v>
      </c>
      <c r="P137">
        <v>10.765000000000001</v>
      </c>
      <c r="Q137">
        <v>7.7</v>
      </c>
      <c r="R137" s="3">
        <f t="shared" si="7"/>
        <v>43500.693055555559</v>
      </c>
      <c r="S137">
        <f t="shared" si="6"/>
        <v>29.000000000232831</v>
      </c>
      <c r="T137">
        <f t="shared" si="8"/>
        <v>29</v>
      </c>
    </row>
    <row r="138" spans="1:20" hidden="1">
      <c r="A138" t="s">
        <v>293</v>
      </c>
      <c r="B138" t="s">
        <v>18</v>
      </c>
      <c r="C138" t="s">
        <v>19</v>
      </c>
      <c r="D138" t="s">
        <v>20</v>
      </c>
      <c r="E138" t="s">
        <v>177</v>
      </c>
      <c r="F138" t="s">
        <v>31</v>
      </c>
      <c r="G138">
        <v>25.91</v>
      </c>
      <c r="H138">
        <v>6</v>
      </c>
      <c r="I138">
        <v>7.7729999999999997</v>
      </c>
      <c r="J138">
        <v>163.233</v>
      </c>
      <c r="K138" s="1">
        <v>43501</v>
      </c>
      <c r="L138" s="2">
        <v>0.42777777777777776</v>
      </c>
      <c r="M138" t="s">
        <v>23</v>
      </c>
      <c r="N138">
        <v>155.46</v>
      </c>
      <c r="O138">
        <v>4.7619047620000003</v>
      </c>
      <c r="P138">
        <v>7.7729999999999997</v>
      </c>
      <c r="Q138">
        <v>8.6999999999999993</v>
      </c>
      <c r="R138" s="3">
        <f t="shared" si="7"/>
        <v>43501.427777777775</v>
      </c>
      <c r="S138" t="str">
        <f t="shared" si="6"/>
        <v/>
      </c>
      <c r="T138" t="str">
        <f t="shared" si="8"/>
        <v/>
      </c>
    </row>
    <row r="139" spans="1:20">
      <c r="A139" t="s">
        <v>629</v>
      </c>
      <c r="B139" t="s">
        <v>18</v>
      </c>
      <c r="C139" t="s">
        <v>19</v>
      </c>
      <c r="D139" t="s">
        <v>20</v>
      </c>
      <c r="E139" t="s">
        <v>21</v>
      </c>
      <c r="F139" t="s">
        <v>35</v>
      </c>
      <c r="G139">
        <v>75.2</v>
      </c>
      <c r="H139">
        <v>3</v>
      </c>
      <c r="I139">
        <v>11.28</v>
      </c>
      <c r="J139">
        <v>236.88</v>
      </c>
      <c r="K139" s="1">
        <v>43501</v>
      </c>
      <c r="L139" s="2">
        <v>0.49375000000000002</v>
      </c>
      <c r="M139" t="s">
        <v>23</v>
      </c>
      <c r="N139">
        <v>225.6</v>
      </c>
      <c r="O139">
        <v>4.7619047620000003</v>
      </c>
      <c r="P139">
        <v>11.28</v>
      </c>
      <c r="Q139">
        <v>4.8</v>
      </c>
      <c r="R139" s="3">
        <f t="shared" si="7"/>
        <v>43501.493750000001</v>
      </c>
      <c r="S139">
        <f t="shared" si="6"/>
        <v>95.000000005820766</v>
      </c>
      <c r="T139">
        <f t="shared" si="8"/>
        <v>95</v>
      </c>
    </row>
    <row r="140" spans="1:20">
      <c r="A140" t="s">
        <v>818</v>
      </c>
      <c r="B140" t="s">
        <v>18</v>
      </c>
      <c r="C140" t="s">
        <v>19</v>
      </c>
      <c r="D140" t="s">
        <v>20</v>
      </c>
      <c r="E140" t="s">
        <v>21</v>
      </c>
      <c r="F140" t="s">
        <v>45</v>
      </c>
      <c r="G140">
        <v>30.62</v>
      </c>
      <c r="H140">
        <v>1</v>
      </c>
      <c r="I140">
        <v>1.5309999999999999</v>
      </c>
      <c r="J140">
        <v>32.151000000000003</v>
      </c>
      <c r="K140" s="1">
        <v>43501</v>
      </c>
      <c r="L140" s="2">
        <v>0.59305555555555556</v>
      </c>
      <c r="M140" t="s">
        <v>32</v>
      </c>
      <c r="N140">
        <v>30.62</v>
      </c>
      <c r="O140">
        <v>4.7619047620000003</v>
      </c>
      <c r="P140">
        <v>1.5309999999999999</v>
      </c>
      <c r="Q140">
        <v>4.0999999999999996</v>
      </c>
      <c r="R140" s="3">
        <f t="shared" si="7"/>
        <v>43501.593055555553</v>
      </c>
      <c r="S140">
        <f t="shared" si="6"/>
        <v>142.9999999946449</v>
      </c>
      <c r="T140">
        <f t="shared" si="8"/>
        <v>143</v>
      </c>
    </row>
    <row r="141" spans="1:20">
      <c r="A141" t="s">
        <v>997</v>
      </c>
      <c r="B141" t="s">
        <v>18</v>
      </c>
      <c r="C141" t="s">
        <v>19</v>
      </c>
      <c r="D141" t="s">
        <v>20</v>
      </c>
      <c r="E141" t="s">
        <v>177</v>
      </c>
      <c r="F141" t="s">
        <v>28</v>
      </c>
      <c r="G141">
        <v>20.89</v>
      </c>
      <c r="H141">
        <v>2</v>
      </c>
      <c r="I141">
        <v>2.089</v>
      </c>
      <c r="J141">
        <v>43.869</v>
      </c>
      <c r="K141" s="1">
        <v>43501</v>
      </c>
      <c r="L141" s="2">
        <v>0.78125</v>
      </c>
      <c r="M141" t="s">
        <v>29</v>
      </c>
      <c r="N141">
        <v>41.78</v>
      </c>
      <c r="O141">
        <v>4.7619047620000003</v>
      </c>
      <c r="P141">
        <v>2.089</v>
      </c>
      <c r="Q141">
        <v>9.8000000000000007</v>
      </c>
      <c r="R141" s="3">
        <f t="shared" si="7"/>
        <v>43501.78125</v>
      </c>
      <c r="S141">
        <f t="shared" si="6"/>
        <v>271.00000000325963</v>
      </c>
      <c r="T141">
        <f t="shared" si="8"/>
        <v>271</v>
      </c>
    </row>
    <row r="142" spans="1:20">
      <c r="A142" t="s">
        <v>922</v>
      </c>
      <c r="B142" t="s">
        <v>18</v>
      </c>
      <c r="C142" t="s">
        <v>19</v>
      </c>
      <c r="D142" t="s">
        <v>20</v>
      </c>
      <c r="E142" t="s">
        <v>177</v>
      </c>
      <c r="F142" t="s">
        <v>43</v>
      </c>
      <c r="G142">
        <v>87.9</v>
      </c>
      <c r="H142">
        <v>1</v>
      </c>
      <c r="I142">
        <v>4.3949999999999996</v>
      </c>
      <c r="J142">
        <v>92.295000000000002</v>
      </c>
      <c r="K142" s="1">
        <v>43501</v>
      </c>
      <c r="L142" s="2">
        <v>0.8208333333333333</v>
      </c>
      <c r="M142" t="s">
        <v>23</v>
      </c>
      <c r="N142">
        <v>87.9</v>
      </c>
      <c r="O142">
        <v>4.7619047620000003</v>
      </c>
      <c r="P142">
        <v>4.3949999999999996</v>
      </c>
      <c r="Q142">
        <v>6.7</v>
      </c>
      <c r="R142" s="3">
        <f t="shared" si="7"/>
        <v>43501.820833333331</v>
      </c>
      <c r="S142">
        <f t="shared" si="6"/>
        <v>56.999999997206032</v>
      </c>
      <c r="T142">
        <f t="shared" si="8"/>
        <v>57</v>
      </c>
    </row>
    <row r="143" spans="1:20" hidden="1">
      <c r="A143" t="s">
        <v>558</v>
      </c>
      <c r="B143" t="s">
        <v>18</v>
      </c>
      <c r="C143" t="s">
        <v>19</v>
      </c>
      <c r="D143" t="s">
        <v>20</v>
      </c>
      <c r="E143" t="s">
        <v>21</v>
      </c>
      <c r="F143" t="s">
        <v>31</v>
      </c>
      <c r="G143">
        <v>37.44</v>
      </c>
      <c r="H143">
        <v>6</v>
      </c>
      <c r="I143">
        <v>11.231999999999999</v>
      </c>
      <c r="J143">
        <v>235.87200000000001</v>
      </c>
      <c r="K143" s="1">
        <v>43502</v>
      </c>
      <c r="L143" s="2">
        <v>0.57986111111111116</v>
      </c>
      <c r="M143" t="s">
        <v>32</v>
      </c>
      <c r="N143">
        <v>224.64</v>
      </c>
      <c r="O143">
        <v>4.7619047620000003</v>
      </c>
      <c r="P143">
        <v>11.231999999999999</v>
      </c>
      <c r="Q143">
        <v>5.9</v>
      </c>
      <c r="R143" s="3">
        <f t="shared" si="7"/>
        <v>43502.579861111109</v>
      </c>
      <c r="S143" t="str">
        <f t="shared" si="6"/>
        <v/>
      </c>
      <c r="T143" t="str">
        <f t="shared" si="8"/>
        <v/>
      </c>
    </row>
    <row r="144" spans="1:20">
      <c r="A144" t="s">
        <v>751</v>
      </c>
      <c r="B144" t="s">
        <v>18</v>
      </c>
      <c r="C144" t="s">
        <v>19</v>
      </c>
      <c r="D144" t="s">
        <v>27</v>
      </c>
      <c r="E144" t="s">
        <v>21</v>
      </c>
      <c r="F144" t="s">
        <v>22</v>
      </c>
      <c r="G144">
        <v>35.68</v>
      </c>
      <c r="H144">
        <v>5</v>
      </c>
      <c r="I144">
        <v>8.92</v>
      </c>
      <c r="J144">
        <v>187.32</v>
      </c>
      <c r="K144" s="1">
        <v>43502</v>
      </c>
      <c r="L144" s="2">
        <v>0.7729166666666667</v>
      </c>
      <c r="M144" t="s">
        <v>32</v>
      </c>
      <c r="N144">
        <v>178.4</v>
      </c>
      <c r="O144">
        <v>4.7619047620000003</v>
      </c>
      <c r="P144">
        <v>8.92</v>
      </c>
      <c r="Q144">
        <v>6.6</v>
      </c>
      <c r="R144" s="3">
        <f t="shared" si="7"/>
        <v>43502.772916666669</v>
      </c>
      <c r="S144">
        <f t="shared" si="6"/>
        <v>278.00000000512227</v>
      </c>
      <c r="T144">
        <f t="shared" si="8"/>
        <v>278</v>
      </c>
    </row>
    <row r="145" spans="1:20" hidden="1">
      <c r="A145" t="s">
        <v>948</v>
      </c>
      <c r="B145" t="s">
        <v>18</v>
      </c>
      <c r="C145" t="s">
        <v>19</v>
      </c>
      <c r="D145" t="s">
        <v>27</v>
      </c>
      <c r="E145" t="s">
        <v>21</v>
      </c>
      <c r="F145" t="s">
        <v>31</v>
      </c>
      <c r="G145">
        <v>93.12</v>
      </c>
      <c r="H145">
        <v>8</v>
      </c>
      <c r="I145">
        <v>37.247999999999998</v>
      </c>
      <c r="J145">
        <v>782.20799999999997</v>
      </c>
      <c r="K145" s="1">
        <v>43503</v>
      </c>
      <c r="L145" s="2">
        <v>0.42291666666666666</v>
      </c>
      <c r="M145" t="s">
        <v>29</v>
      </c>
      <c r="N145">
        <v>744.96</v>
      </c>
      <c r="O145">
        <v>4.7619047620000003</v>
      </c>
      <c r="P145">
        <v>37.247999999999998</v>
      </c>
      <c r="Q145">
        <v>6.8</v>
      </c>
      <c r="R145" s="3">
        <f t="shared" si="7"/>
        <v>43503.42291666667</v>
      </c>
      <c r="S145" t="str">
        <f t="shared" ref="S145:S208" si="9">IF(K145=K144, (R145-R144)*1440, "")</f>
        <v/>
      </c>
      <c r="T145" t="str">
        <f t="shared" si="8"/>
        <v/>
      </c>
    </row>
    <row r="146" spans="1:20">
      <c r="A146" t="s">
        <v>646</v>
      </c>
      <c r="B146" t="s">
        <v>18</v>
      </c>
      <c r="C146" t="s">
        <v>19</v>
      </c>
      <c r="D146" t="s">
        <v>27</v>
      </c>
      <c r="E146" t="s">
        <v>21</v>
      </c>
      <c r="F146" t="s">
        <v>28</v>
      </c>
      <c r="G146">
        <v>28.96</v>
      </c>
      <c r="H146">
        <v>1</v>
      </c>
      <c r="I146">
        <v>1.448</v>
      </c>
      <c r="J146">
        <v>30.408000000000001</v>
      </c>
      <c r="K146" s="1">
        <v>43503</v>
      </c>
      <c r="L146" s="2">
        <v>0.42916666666666664</v>
      </c>
      <c r="M146" t="s">
        <v>32</v>
      </c>
      <c r="N146">
        <v>28.96</v>
      </c>
      <c r="O146">
        <v>4.7619047620000003</v>
      </c>
      <c r="P146">
        <v>1.448</v>
      </c>
      <c r="Q146">
        <v>6.2</v>
      </c>
      <c r="R146" s="3">
        <f t="shared" si="7"/>
        <v>43503.429166666669</v>
      </c>
      <c r="S146">
        <f t="shared" si="9"/>
        <v>8.9999999979045242</v>
      </c>
      <c r="T146">
        <f t="shared" si="8"/>
        <v>9</v>
      </c>
    </row>
    <row r="147" spans="1:20">
      <c r="A147" t="s">
        <v>92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89.6</v>
      </c>
      <c r="H147">
        <v>8</v>
      </c>
      <c r="I147">
        <v>35.840000000000003</v>
      </c>
      <c r="J147">
        <v>752.64</v>
      </c>
      <c r="K147" s="1">
        <v>43503</v>
      </c>
      <c r="L147" s="2">
        <v>0.4777777777777778</v>
      </c>
      <c r="M147" t="s">
        <v>23</v>
      </c>
      <c r="N147">
        <v>716.8</v>
      </c>
      <c r="O147">
        <v>4.7619047620000003</v>
      </c>
      <c r="P147">
        <v>35.840000000000003</v>
      </c>
      <c r="Q147">
        <v>6.6</v>
      </c>
      <c r="R147" s="3">
        <f t="shared" si="7"/>
        <v>43503.477777777778</v>
      </c>
      <c r="S147">
        <f t="shared" si="9"/>
        <v>69.999999997671694</v>
      </c>
      <c r="T147">
        <f t="shared" si="8"/>
        <v>70</v>
      </c>
    </row>
    <row r="148" spans="1:20">
      <c r="A148" t="s">
        <v>628</v>
      </c>
      <c r="B148" t="s">
        <v>18</v>
      </c>
      <c r="C148" t="s">
        <v>19</v>
      </c>
      <c r="D148" t="s">
        <v>20</v>
      </c>
      <c r="E148" t="s">
        <v>21</v>
      </c>
      <c r="F148" t="s">
        <v>35</v>
      </c>
      <c r="G148">
        <v>45.58</v>
      </c>
      <c r="H148">
        <v>1</v>
      </c>
      <c r="I148">
        <v>2.2789999999999999</v>
      </c>
      <c r="J148">
        <v>47.859000000000002</v>
      </c>
      <c r="K148" s="1">
        <v>43503</v>
      </c>
      <c r="L148" s="2">
        <v>0.59236111111111112</v>
      </c>
      <c r="M148" t="s">
        <v>29</v>
      </c>
      <c r="N148">
        <v>45.58</v>
      </c>
      <c r="O148">
        <v>4.7619047620000003</v>
      </c>
      <c r="P148">
        <v>2.2789999999999999</v>
      </c>
      <c r="Q148">
        <v>9.8000000000000007</v>
      </c>
      <c r="R148" s="3">
        <f t="shared" si="7"/>
        <v>43503.592361111114</v>
      </c>
      <c r="S148">
        <f t="shared" si="9"/>
        <v>165.00000000349246</v>
      </c>
      <c r="T148">
        <f t="shared" si="8"/>
        <v>165</v>
      </c>
    </row>
    <row r="149" spans="1:20">
      <c r="A149" t="s">
        <v>48</v>
      </c>
      <c r="B149" t="s">
        <v>18</v>
      </c>
      <c r="C149" t="s">
        <v>19</v>
      </c>
      <c r="D149" t="s">
        <v>20</v>
      </c>
      <c r="E149" t="s">
        <v>21</v>
      </c>
      <c r="F149" t="s">
        <v>43</v>
      </c>
      <c r="G149">
        <v>43.19</v>
      </c>
      <c r="H149">
        <v>10</v>
      </c>
      <c r="I149">
        <v>21.594999999999999</v>
      </c>
      <c r="J149">
        <v>453.495</v>
      </c>
      <c r="K149" s="1">
        <v>43503</v>
      </c>
      <c r="L149" s="2">
        <v>0.7</v>
      </c>
      <c r="M149" t="s">
        <v>23</v>
      </c>
      <c r="N149">
        <v>431.9</v>
      </c>
      <c r="O149">
        <v>4.7619047620000003</v>
      </c>
      <c r="P149">
        <v>21.594999999999999</v>
      </c>
      <c r="Q149">
        <v>8.1999999999999993</v>
      </c>
      <c r="R149" s="3">
        <f t="shared" si="7"/>
        <v>43503.7</v>
      </c>
      <c r="S149">
        <f t="shared" si="9"/>
        <v>154.99999999185093</v>
      </c>
      <c r="T149">
        <f t="shared" si="8"/>
        <v>155</v>
      </c>
    </row>
    <row r="150" spans="1:20" hidden="1">
      <c r="A150" t="s">
        <v>34</v>
      </c>
      <c r="B150" t="s">
        <v>18</v>
      </c>
      <c r="C150" t="s">
        <v>19</v>
      </c>
      <c r="D150" t="s">
        <v>20</v>
      </c>
      <c r="E150" t="s">
        <v>21</v>
      </c>
      <c r="F150" t="s">
        <v>35</v>
      </c>
      <c r="G150">
        <v>86.31</v>
      </c>
      <c r="H150">
        <v>7</v>
      </c>
      <c r="I150">
        <v>30.208500000000001</v>
      </c>
      <c r="J150">
        <v>634.37850000000003</v>
      </c>
      <c r="K150" s="1">
        <v>43504</v>
      </c>
      <c r="L150" s="2">
        <v>0.44236111111111109</v>
      </c>
      <c r="M150" t="s">
        <v>23</v>
      </c>
      <c r="N150">
        <v>604.16999999999996</v>
      </c>
      <c r="O150">
        <v>4.7619047620000003</v>
      </c>
      <c r="P150">
        <v>30.208500000000001</v>
      </c>
      <c r="Q150">
        <v>5.3</v>
      </c>
      <c r="R150" s="3">
        <f t="shared" si="7"/>
        <v>43504.442361111112</v>
      </c>
      <c r="S150" t="str">
        <f t="shared" si="9"/>
        <v/>
      </c>
      <c r="T150" t="str">
        <f t="shared" si="8"/>
        <v/>
      </c>
    </row>
    <row r="151" spans="1:20">
      <c r="A151" t="s">
        <v>768</v>
      </c>
      <c r="B151" t="s">
        <v>18</v>
      </c>
      <c r="C151" t="s">
        <v>19</v>
      </c>
      <c r="D151" t="s">
        <v>20</v>
      </c>
      <c r="E151" t="s">
        <v>177</v>
      </c>
      <c r="F151" t="s">
        <v>45</v>
      </c>
      <c r="G151">
        <v>19.7</v>
      </c>
      <c r="H151">
        <v>1</v>
      </c>
      <c r="I151">
        <v>0.98499999999999999</v>
      </c>
      <c r="J151">
        <v>20.684999999999999</v>
      </c>
      <c r="K151" s="1">
        <v>43504</v>
      </c>
      <c r="L151" s="2">
        <v>0.48541666666666666</v>
      </c>
      <c r="M151" t="s">
        <v>23</v>
      </c>
      <c r="N151">
        <v>19.7</v>
      </c>
      <c r="O151">
        <v>4.7619047620000003</v>
      </c>
      <c r="P151">
        <v>0.98499999999999999</v>
      </c>
      <c r="Q151">
        <v>9.5</v>
      </c>
      <c r="R151" s="3">
        <f t="shared" si="7"/>
        <v>43504.48541666667</v>
      </c>
      <c r="S151">
        <f t="shared" si="9"/>
        <v>62.000000003026798</v>
      </c>
      <c r="T151">
        <f t="shared" si="8"/>
        <v>62</v>
      </c>
    </row>
    <row r="152" spans="1:20">
      <c r="A152" t="s">
        <v>203</v>
      </c>
      <c r="B152" t="s">
        <v>18</v>
      </c>
      <c r="C152" t="s">
        <v>19</v>
      </c>
      <c r="D152" t="s">
        <v>27</v>
      </c>
      <c r="E152" t="s">
        <v>177</v>
      </c>
      <c r="F152" t="s">
        <v>45</v>
      </c>
      <c r="G152">
        <v>98.98</v>
      </c>
      <c r="H152">
        <v>10</v>
      </c>
      <c r="I152">
        <v>49.49</v>
      </c>
      <c r="J152">
        <v>1039.29</v>
      </c>
      <c r="K152" s="1">
        <v>43504</v>
      </c>
      <c r="L152" s="2">
        <v>0.68055555555555558</v>
      </c>
      <c r="M152" t="s">
        <v>32</v>
      </c>
      <c r="N152">
        <v>989.8</v>
      </c>
      <c r="O152">
        <v>4.7619047620000003</v>
      </c>
      <c r="P152">
        <v>49.49</v>
      </c>
      <c r="Q152">
        <v>8.6999999999999993</v>
      </c>
      <c r="R152" s="3">
        <f t="shared" si="7"/>
        <v>43504.680555555555</v>
      </c>
      <c r="S152">
        <f t="shared" si="9"/>
        <v>280.9999999939464</v>
      </c>
      <c r="T152">
        <f t="shared" si="8"/>
        <v>281</v>
      </c>
    </row>
    <row r="153" spans="1:20" hidden="1">
      <c r="A153" t="s">
        <v>299</v>
      </c>
      <c r="B153" t="s">
        <v>18</v>
      </c>
      <c r="C153" t="s">
        <v>19</v>
      </c>
      <c r="D153" t="s">
        <v>20</v>
      </c>
      <c r="E153" t="s">
        <v>21</v>
      </c>
      <c r="F153" t="s">
        <v>35</v>
      </c>
      <c r="G153">
        <v>22.24</v>
      </c>
      <c r="H153">
        <v>10</v>
      </c>
      <c r="I153">
        <v>11.12</v>
      </c>
      <c r="J153">
        <v>233.52</v>
      </c>
      <c r="K153" s="1">
        <v>43505</v>
      </c>
      <c r="L153" s="2">
        <v>0.45833333333333331</v>
      </c>
      <c r="M153" t="s">
        <v>29</v>
      </c>
      <c r="N153">
        <v>222.4</v>
      </c>
      <c r="O153">
        <v>4.7619047620000003</v>
      </c>
      <c r="P153">
        <v>11.12</v>
      </c>
      <c r="Q153">
        <v>4.2</v>
      </c>
      <c r="R153" s="3">
        <f t="shared" si="7"/>
        <v>43505.458333333336</v>
      </c>
      <c r="S153" t="str">
        <f t="shared" si="9"/>
        <v/>
      </c>
      <c r="T153" t="str">
        <f t="shared" si="8"/>
        <v/>
      </c>
    </row>
    <row r="154" spans="1:20">
      <c r="A154" t="s">
        <v>1033</v>
      </c>
      <c r="B154" t="s">
        <v>18</v>
      </c>
      <c r="C154" t="s">
        <v>19</v>
      </c>
      <c r="D154" t="s">
        <v>20</v>
      </c>
      <c r="E154" t="s">
        <v>177</v>
      </c>
      <c r="F154" t="s">
        <v>43</v>
      </c>
      <c r="G154">
        <v>31.84</v>
      </c>
      <c r="H154">
        <v>1</v>
      </c>
      <c r="I154">
        <v>1.5920000000000001</v>
      </c>
      <c r="J154">
        <v>33.432000000000002</v>
      </c>
      <c r="K154" s="1">
        <v>43505</v>
      </c>
      <c r="L154" s="2">
        <v>0.55694444444444446</v>
      </c>
      <c r="M154" t="s">
        <v>29</v>
      </c>
      <c r="N154">
        <v>31.84</v>
      </c>
      <c r="O154">
        <v>4.7619047620000003</v>
      </c>
      <c r="P154">
        <v>1.5920000000000001</v>
      </c>
      <c r="Q154">
        <v>7.7</v>
      </c>
      <c r="R154" s="3">
        <f t="shared" si="7"/>
        <v>43505.556944444441</v>
      </c>
      <c r="S154">
        <f t="shared" si="9"/>
        <v>141.99999999138527</v>
      </c>
      <c r="T154">
        <f t="shared" si="8"/>
        <v>142</v>
      </c>
    </row>
    <row r="155" spans="1:20">
      <c r="A155" t="s">
        <v>935</v>
      </c>
      <c r="B155" t="s">
        <v>18</v>
      </c>
      <c r="C155" t="s">
        <v>19</v>
      </c>
      <c r="D155" t="s">
        <v>20</v>
      </c>
      <c r="E155" t="s">
        <v>177</v>
      </c>
      <c r="F155" t="s">
        <v>43</v>
      </c>
      <c r="G155">
        <v>35.04</v>
      </c>
      <c r="H155">
        <v>9</v>
      </c>
      <c r="I155">
        <v>15.768000000000001</v>
      </c>
      <c r="J155">
        <v>331.12799999999999</v>
      </c>
      <c r="K155" s="1">
        <v>43505</v>
      </c>
      <c r="L155" s="2">
        <v>0.80347222222222225</v>
      </c>
      <c r="M155" t="s">
        <v>23</v>
      </c>
      <c r="N155">
        <v>315.36</v>
      </c>
      <c r="O155">
        <v>4.7619047620000003</v>
      </c>
      <c r="P155">
        <v>15.768000000000001</v>
      </c>
      <c r="Q155">
        <v>4.5999999999999996</v>
      </c>
      <c r="R155" s="3">
        <f t="shared" si="7"/>
        <v>43505.803472222222</v>
      </c>
      <c r="S155">
        <f t="shared" si="9"/>
        <v>355.00000000465661</v>
      </c>
      <c r="T155">
        <f t="shared" si="8"/>
        <v>355</v>
      </c>
    </row>
    <row r="156" spans="1:20" hidden="1">
      <c r="A156" t="s">
        <v>182</v>
      </c>
      <c r="B156" t="s">
        <v>18</v>
      </c>
      <c r="C156" t="s">
        <v>19</v>
      </c>
      <c r="D156" t="s">
        <v>20</v>
      </c>
      <c r="E156" t="s">
        <v>21</v>
      </c>
      <c r="F156" t="s">
        <v>45</v>
      </c>
      <c r="G156">
        <v>30.14</v>
      </c>
      <c r="H156">
        <v>10</v>
      </c>
      <c r="I156">
        <v>15.07</v>
      </c>
      <c r="J156">
        <v>316.47000000000003</v>
      </c>
      <c r="K156" s="1">
        <v>43506</v>
      </c>
      <c r="L156" s="2">
        <v>0.51944444444444449</v>
      </c>
      <c r="M156" t="s">
        <v>23</v>
      </c>
      <c r="N156">
        <v>301.39999999999998</v>
      </c>
      <c r="O156">
        <v>4.7619047620000003</v>
      </c>
      <c r="P156">
        <v>15.07</v>
      </c>
      <c r="Q156">
        <v>9.1999999999999993</v>
      </c>
      <c r="R156" s="3">
        <f t="shared" si="7"/>
        <v>43506.519444444442</v>
      </c>
      <c r="S156" t="str">
        <f t="shared" si="9"/>
        <v/>
      </c>
      <c r="T156" t="str">
        <f t="shared" si="8"/>
        <v/>
      </c>
    </row>
    <row r="157" spans="1:20">
      <c r="A157" t="s">
        <v>224</v>
      </c>
      <c r="B157" t="s">
        <v>18</v>
      </c>
      <c r="C157" t="s">
        <v>19</v>
      </c>
      <c r="D157" t="s">
        <v>27</v>
      </c>
      <c r="E157" t="s">
        <v>177</v>
      </c>
      <c r="F157" t="s">
        <v>31</v>
      </c>
      <c r="G157">
        <v>74.069999999999993</v>
      </c>
      <c r="H157">
        <v>1</v>
      </c>
      <c r="I157">
        <v>3.7035</v>
      </c>
      <c r="J157">
        <v>77.773499999999999</v>
      </c>
      <c r="K157" s="1">
        <v>43506</v>
      </c>
      <c r="L157" s="2">
        <v>0.53472222222222221</v>
      </c>
      <c r="M157" t="s">
        <v>23</v>
      </c>
      <c r="N157">
        <v>74.069999999999993</v>
      </c>
      <c r="O157">
        <v>4.7619047620000003</v>
      </c>
      <c r="P157">
        <v>3.7035</v>
      </c>
      <c r="Q157">
        <v>9.9</v>
      </c>
      <c r="R157" s="3">
        <f t="shared" si="7"/>
        <v>43506.534722222219</v>
      </c>
      <c r="S157">
        <f t="shared" si="9"/>
        <v>21.999999998370185</v>
      </c>
      <c r="T157">
        <f t="shared" si="8"/>
        <v>22</v>
      </c>
    </row>
    <row r="158" spans="1:20">
      <c r="A158" t="s">
        <v>642</v>
      </c>
      <c r="B158" t="s">
        <v>18</v>
      </c>
      <c r="C158" t="s">
        <v>19</v>
      </c>
      <c r="D158" t="s">
        <v>20</v>
      </c>
      <c r="E158" t="s">
        <v>21</v>
      </c>
      <c r="F158" t="s">
        <v>45</v>
      </c>
      <c r="G158">
        <v>53.65</v>
      </c>
      <c r="H158">
        <v>7</v>
      </c>
      <c r="I158">
        <v>18.7775</v>
      </c>
      <c r="J158">
        <v>394.32749999999999</v>
      </c>
      <c r="K158" s="1">
        <v>43506</v>
      </c>
      <c r="L158" s="2">
        <v>0.53888888888888886</v>
      </c>
      <c r="M158" t="s">
        <v>23</v>
      </c>
      <c r="N158">
        <v>375.55</v>
      </c>
      <c r="O158">
        <v>4.7619047620000003</v>
      </c>
      <c r="P158">
        <v>18.7775</v>
      </c>
      <c r="Q158">
        <v>5.2</v>
      </c>
      <c r="R158" s="3">
        <f t="shared" si="7"/>
        <v>43506.538888888892</v>
      </c>
      <c r="S158">
        <f t="shared" si="9"/>
        <v>6.0000000090803951</v>
      </c>
      <c r="T158">
        <f t="shared" si="8"/>
        <v>6</v>
      </c>
    </row>
    <row r="159" spans="1:20">
      <c r="A159" t="s">
        <v>86</v>
      </c>
      <c r="B159" t="s">
        <v>18</v>
      </c>
      <c r="C159" t="s">
        <v>19</v>
      </c>
      <c r="D159" t="s">
        <v>20</v>
      </c>
      <c r="E159" t="s">
        <v>21</v>
      </c>
      <c r="F159" t="s">
        <v>43</v>
      </c>
      <c r="G159">
        <v>44.59</v>
      </c>
      <c r="H159">
        <v>5</v>
      </c>
      <c r="I159">
        <v>11.147500000000001</v>
      </c>
      <c r="J159">
        <v>234.0975</v>
      </c>
      <c r="K159" s="1">
        <v>43506</v>
      </c>
      <c r="L159" s="2">
        <v>0.63194444444444442</v>
      </c>
      <c r="M159" t="s">
        <v>29</v>
      </c>
      <c r="N159">
        <v>222.95</v>
      </c>
      <c r="O159">
        <v>4.7619047620000003</v>
      </c>
      <c r="P159">
        <v>11.147500000000001</v>
      </c>
      <c r="Q159">
        <v>8.5</v>
      </c>
      <c r="R159" s="3">
        <f t="shared" si="7"/>
        <v>43506.631944444445</v>
      </c>
      <c r="S159">
        <f t="shared" si="9"/>
        <v>133.99999999674037</v>
      </c>
      <c r="T159">
        <f t="shared" si="8"/>
        <v>134</v>
      </c>
    </row>
    <row r="160" spans="1:20" hidden="1">
      <c r="A160" t="s">
        <v>1009</v>
      </c>
      <c r="B160" t="s">
        <v>18</v>
      </c>
      <c r="C160" t="s">
        <v>19</v>
      </c>
      <c r="D160" t="s">
        <v>27</v>
      </c>
      <c r="E160" t="s">
        <v>177</v>
      </c>
      <c r="F160" t="s">
        <v>31</v>
      </c>
      <c r="G160">
        <v>80.08</v>
      </c>
      <c r="H160">
        <v>3</v>
      </c>
      <c r="I160">
        <v>12.012</v>
      </c>
      <c r="J160">
        <v>252.25200000000001</v>
      </c>
      <c r="K160" s="1">
        <v>43507</v>
      </c>
      <c r="L160" s="2">
        <v>0.64513888888888893</v>
      </c>
      <c r="M160" t="s">
        <v>29</v>
      </c>
      <c r="N160">
        <v>240.24</v>
      </c>
      <c r="O160">
        <v>4.7619047620000003</v>
      </c>
      <c r="P160">
        <v>12.012</v>
      </c>
      <c r="Q160">
        <v>5.4</v>
      </c>
      <c r="R160" s="3">
        <f t="shared" si="7"/>
        <v>43507.645138888889</v>
      </c>
      <c r="S160" t="str">
        <f t="shared" si="9"/>
        <v/>
      </c>
      <c r="T160" t="str">
        <f t="shared" si="8"/>
        <v/>
      </c>
    </row>
    <row r="161" spans="1:20">
      <c r="A161" t="s">
        <v>817</v>
      </c>
      <c r="B161" t="s">
        <v>18</v>
      </c>
      <c r="C161" t="s">
        <v>19</v>
      </c>
      <c r="D161" t="s">
        <v>27</v>
      </c>
      <c r="E161" t="s">
        <v>21</v>
      </c>
      <c r="F161" t="s">
        <v>35</v>
      </c>
      <c r="G161">
        <v>94.76</v>
      </c>
      <c r="H161">
        <v>4</v>
      </c>
      <c r="I161">
        <v>18.952000000000002</v>
      </c>
      <c r="J161">
        <v>397.99200000000002</v>
      </c>
      <c r="K161" s="1">
        <v>43507</v>
      </c>
      <c r="L161" s="2">
        <v>0.67083333333333328</v>
      </c>
      <c r="M161" t="s">
        <v>23</v>
      </c>
      <c r="N161">
        <v>379.04</v>
      </c>
      <c r="O161">
        <v>4.7619047620000003</v>
      </c>
      <c r="P161">
        <v>18.952000000000002</v>
      </c>
      <c r="Q161">
        <v>7.8</v>
      </c>
      <c r="R161" s="3">
        <f t="shared" si="7"/>
        <v>43507.67083333333</v>
      </c>
      <c r="S161">
        <f t="shared" si="9"/>
        <v>36.999999994877726</v>
      </c>
      <c r="T161">
        <f t="shared" si="8"/>
        <v>37</v>
      </c>
    </row>
    <row r="162" spans="1:20" hidden="1">
      <c r="A162" t="s">
        <v>47</v>
      </c>
      <c r="B162" t="s">
        <v>18</v>
      </c>
      <c r="C162" t="s">
        <v>19</v>
      </c>
      <c r="D162" t="s">
        <v>20</v>
      </c>
      <c r="E162" t="s">
        <v>21</v>
      </c>
      <c r="F162" t="s">
        <v>28</v>
      </c>
      <c r="G162">
        <v>46.95</v>
      </c>
      <c r="H162">
        <v>5</v>
      </c>
      <c r="I162">
        <v>11.737500000000001</v>
      </c>
      <c r="J162">
        <v>246.48750000000001</v>
      </c>
      <c r="K162" s="1">
        <v>43508</v>
      </c>
      <c r="L162" s="2">
        <v>0.43402777777777779</v>
      </c>
      <c r="M162" t="s">
        <v>23</v>
      </c>
      <c r="N162">
        <v>234.75</v>
      </c>
      <c r="O162">
        <v>4.7619047620000003</v>
      </c>
      <c r="P162">
        <v>11.737500000000001</v>
      </c>
      <c r="Q162">
        <v>7.1</v>
      </c>
      <c r="R162" s="3">
        <f t="shared" si="7"/>
        <v>43508.434027777781</v>
      </c>
      <c r="S162" t="str">
        <f t="shared" si="9"/>
        <v/>
      </c>
      <c r="T162" t="str">
        <f t="shared" si="8"/>
        <v/>
      </c>
    </row>
    <row r="163" spans="1:20">
      <c r="A163" t="s">
        <v>778</v>
      </c>
      <c r="B163" t="s">
        <v>18</v>
      </c>
      <c r="C163" t="s">
        <v>19</v>
      </c>
      <c r="D163" t="s">
        <v>20</v>
      </c>
      <c r="E163" t="s">
        <v>21</v>
      </c>
      <c r="F163" t="s">
        <v>35</v>
      </c>
      <c r="G163">
        <v>71.63</v>
      </c>
      <c r="H163">
        <v>2</v>
      </c>
      <c r="I163">
        <v>7.1630000000000003</v>
      </c>
      <c r="J163">
        <v>150.423</v>
      </c>
      <c r="K163" s="1">
        <v>43508</v>
      </c>
      <c r="L163" s="2">
        <v>0.60624999999999996</v>
      </c>
      <c r="M163" t="s">
        <v>23</v>
      </c>
      <c r="N163">
        <v>143.26</v>
      </c>
      <c r="O163">
        <v>4.7619047620000003</v>
      </c>
      <c r="P163">
        <v>7.1630000000000003</v>
      </c>
      <c r="Q163">
        <v>8.8000000000000007</v>
      </c>
      <c r="R163" s="3">
        <f t="shared" si="7"/>
        <v>43508.606249999997</v>
      </c>
      <c r="S163">
        <f t="shared" si="9"/>
        <v>247.99999999115244</v>
      </c>
      <c r="T163">
        <f t="shared" si="8"/>
        <v>248</v>
      </c>
    </row>
    <row r="164" spans="1:20">
      <c r="A164" t="s">
        <v>566</v>
      </c>
      <c r="B164" t="s">
        <v>18</v>
      </c>
      <c r="C164" t="s">
        <v>19</v>
      </c>
      <c r="D164" t="s">
        <v>27</v>
      </c>
      <c r="E164" t="s">
        <v>177</v>
      </c>
      <c r="F164" t="s">
        <v>22</v>
      </c>
      <c r="G164">
        <v>25.43</v>
      </c>
      <c r="H164">
        <v>6</v>
      </c>
      <c r="I164">
        <v>7.6289999999999996</v>
      </c>
      <c r="J164">
        <v>160.209</v>
      </c>
      <c r="K164" s="1">
        <v>43508</v>
      </c>
      <c r="L164" s="2">
        <v>0.79236111111111107</v>
      </c>
      <c r="M164" t="s">
        <v>23</v>
      </c>
      <c r="N164">
        <v>152.58000000000001</v>
      </c>
      <c r="O164">
        <v>4.7619047620000003</v>
      </c>
      <c r="P164">
        <v>7.6289999999999996</v>
      </c>
      <c r="Q164">
        <v>7</v>
      </c>
      <c r="R164" s="3">
        <f t="shared" si="7"/>
        <v>43508.792361111111</v>
      </c>
      <c r="S164">
        <f t="shared" si="9"/>
        <v>268.00000000395812</v>
      </c>
      <c r="T164">
        <f t="shared" si="8"/>
        <v>268</v>
      </c>
    </row>
    <row r="165" spans="1:20" hidden="1">
      <c r="A165" t="s">
        <v>294</v>
      </c>
      <c r="B165" t="s">
        <v>18</v>
      </c>
      <c r="C165" t="s">
        <v>19</v>
      </c>
      <c r="D165" t="s">
        <v>20</v>
      </c>
      <c r="E165" t="s">
        <v>177</v>
      </c>
      <c r="F165" t="s">
        <v>28</v>
      </c>
      <c r="G165">
        <v>32.25</v>
      </c>
      <c r="H165">
        <v>4</v>
      </c>
      <c r="I165">
        <v>6.45</v>
      </c>
      <c r="J165">
        <v>135.44999999999999</v>
      </c>
      <c r="K165" s="1">
        <v>43509</v>
      </c>
      <c r="L165" s="2">
        <v>0.52638888888888891</v>
      </c>
      <c r="M165" t="s">
        <v>23</v>
      </c>
      <c r="N165">
        <v>129</v>
      </c>
      <c r="O165">
        <v>4.7619047620000003</v>
      </c>
      <c r="P165">
        <v>6.45</v>
      </c>
      <c r="Q165">
        <v>6.5</v>
      </c>
      <c r="R165" s="3">
        <f t="shared" si="7"/>
        <v>43509.526388888888</v>
      </c>
      <c r="S165" t="str">
        <f t="shared" si="9"/>
        <v/>
      </c>
      <c r="T165" t="str">
        <f t="shared" si="8"/>
        <v/>
      </c>
    </row>
    <row r="166" spans="1:20">
      <c r="A166" t="s">
        <v>428</v>
      </c>
      <c r="B166" t="s">
        <v>18</v>
      </c>
      <c r="C166" t="s">
        <v>19</v>
      </c>
      <c r="D166" t="s">
        <v>20</v>
      </c>
      <c r="E166" t="s">
        <v>177</v>
      </c>
      <c r="F166" t="s">
        <v>28</v>
      </c>
      <c r="G166">
        <v>76.819999999999993</v>
      </c>
      <c r="H166">
        <v>1</v>
      </c>
      <c r="I166">
        <v>3.8410000000000002</v>
      </c>
      <c r="J166">
        <v>80.661000000000001</v>
      </c>
      <c r="K166" s="1">
        <v>43509</v>
      </c>
      <c r="L166" s="2">
        <v>0.76875000000000004</v>
      </c>
      <c r="M166" t="s">
        <v>23</v>
      </c>
      <c r="N166">
        <v>76.819999999999993</v>
      </c>
      <c r="O166">
        <v>4.7619047620000003</v>
      </c>
      <c r="P166">
        <v>3.8410000000000002</v>
      </c>
      <c r="Q166">
        <v>7.2</v>
      </c>
      <c r="R166" s="3">
        <f t="shared" si="7"/>
        <v>43509.768750000003</v>
      </c>
      <c r="S166">
        <f t="shared" si="9"/>
        <v>349.0000000060536</v>
      </c>
      <c r="T166">
        <f t="shared" si="8"/>
        <v>349</v>
      </c>
    </row>
    <row r="167" spans="1:20" hidden="1">
      <c r="A167" t="s">
        <v>869</v>
      </c>
      <c r="B167" t="s">
        <v>18</v>
      </c>
      <c r="C167" t="s">
        <v>19</v>
      </c>
      <c r="D167" t="s">
        <v>20</v>
      </c>
      <c r="E167" t="s">
        <v>177</v>
      </c>
      <c r="F167" t="s">
        <v>22</v>
      </c>
      <c r="G167">
        <v>91.3</v>
      </c>
      <c r="H167">
        <v>1</v>
      </c>
      <c r="I167">
        <v>4.5650000000000004</v>
      </c>
      <c r="J167">
        <v>95.864999999999995</v>
      </c>
      <c r="K167" s="1">
        <v>43510</v>
      </c>
      <c r="L167" s="2">
        <v>0.61250000000000004</v>
      </c>
      <c r="M167" t="s">
        <v>23</v>
      </c>
      <c r="N167">
        <v>91.3</v>
      </c>
      <c r="O167">
        <v>4.7619047620000003</v>
      </c>
      <c r="P167">
        <v>4.5650000000000004</v>
      </c>
      <c r="Q167">
        <v>9.1999999999999993</v>
      </c>
      <c r="R167" s="3">
        <f t="shared" si="7"/>
        <v>43510.612500000003</v>
      </c>
      <c r="S167" t="str">
        <f t="shared" si="9"/>
        <v/>
      </c>
      <c r="T167" t="str">
        <f t="shared" si="8"/>
        <v/>
      </c>
    </row>
    <row r="168" spans="1:20">
      <c r="A168" t="s">
        <v>380</v>
      </c>
      <c r="B168" t="s">
        <v>18</v>
      </c>
      <c r="C168" t="s">
        <v>19</v>
      </c>
      <c r="D168" t="s">
        <v>27</v>
      </c>
      <c r="E168" t="s">
        <v>177</v>
      </c>
      <c r="F168" t="s">
        <v>35</v>
      </c>
      <c r="G168">
        <v>44.65</v>
      </c>
      <c r="H168">
        <v>3</v>
      </c>
      <c r="I168">
        <v>6.6974999999999998</v>
      </c>
      <c r="J168">
        <v>140.64750000000001</v>
      </c>
      <c r="K168" s="1">
        <v>43510</v>
      </c>
      <c r="L168" s="2">
        <v>0.62777777777777777</v>
      </c>
      <c r="M168" t="s">
        <v>29</v>
      </c>
      <c r="N168">
        <v>133.94999999999999</v>
      </c>
      <c r="O168">
        <v>4.7619047620000003</v>
      </c>
      <c r="P168">
        <v>6.6974999999999998</v>
      </c>
      <c r="Q168">
        <v>6.2</v>
      </c>
      <c r="R168" s="3">
        <f t="shared" si="7"/>
        <v>43510.62777777778</v>
      </c>
      <c r="S168">
        <f t="shared" si="9"/>
        <v>21.999999998370185</v>
      </c>
      <c r="T168">
        <f t="shared" si="8"/>
        <v>22</v>
      </c>
    </row>
    <row r="169" spans="1:20">
      <c r="A169" t="s">
        <v>155</v>
      </c>
      <c r="B169" t="s">
        <v>18</v>
      </c>
      <c r="C169" t="s">
        <v>19</v>
      </c>
      <c r="D169" t="s">
        <v>20</v>
      </c>
      <c r="E169" t="s">
        <v>21</v>
      </c>
      <c r="F169" t="s">
        <v>28</v>
      </c>
      <c r="G169">
        <v>99.56</v>
      </c>
      <c r="H169">
        <v>8</v>
      </c>
      <c r="I169">
        <v>39.823999999999998</v>
      </c>
      <c r="J169">
        <v>836.30399999999997</v>
      </c>
      <c r="K169" s="1">
        <v>43510</v>
      </c>
      <c r="L169" s="2">
        <v>0.7104166666666667</v>
      </c>
      <c r="M169" t="s">
        <v>32</v>
      </c>
      <c r="N169">
        <v>796.48</v>
      </c>
      <c r="O169">
        <v>4.7619047620000003</v>
      </c>
      <c r="P169">
        <v>39.823999999999998</v>
      </c>
      <c r="Q169">
        <v>5.2</v>
      </c>
      <c r="R169" s="3">
        <f t="shared" si="7"/>
        <v>43510.710416666669</v>
      </c>
      <c r="S169">
        <f t="shared" si="9"/>
        <v>119.00000000023283</v>
      </c>
      <c r="T169">
        <f t="shared" si="8"/>
        <v>119</v>
      </c>
    </row>
    <row r="170" spans="1:20" hidden="1">
      <c r="A170" t="s">
        <v>725</v>
      </c>
      <c r="B170" t="s">
        <v>18</v>
      </c>
      <c r="C170" t="s">
        <v>19</v>
      </c>
      <c r="D170" t="s">
        <v>27</v>
      </c>
      <c r="E170" t="s">
        <v>21</v>
      </c>
      <c r="F170" t="s">
        <v>43</v>
      </c>
      <c r="G170">
        <v>67.099999999999994</v>
      </c>
      <c r="H170">
        <v>3</v>
      </c>
      <c r="I170">
        <v>10.065</v>
      </c>
      <c r="J170">
        <v>211.36500000000001</v>
      </c>
      <c r="K170" s="1">
        <v>43511</v>
      </c>
      <c r="L170" s="2">
        <v>0.44166666666666665</v>
      </c>
      <c r="M170" t="s">
        <v>29</v>
      </c>
      <c r="N170">
        <v>201.3</v>
      </c>
      <c r="O170">
        <v>4.7619047620000003</v>
      </c>
      <c r="P170">
        <v>10.065</v>
      </c>
      <c r="Q170">
        <v>7.5</v>
      </c>
      <c r="R170" s="3">
        <f t="shared" si="7"/>
        <v>43511.441666666666</v>
      </c>
      <c r="S170" t="str">
        <f t="shared" si="9"/>
        <v/>
      </c>
      <c r="T170" t="str">
        <f t="shared" si="8"/>
        <v/>
      </c>
    </row>
    <row r="171" spans="1:20">
      <c r="A171" t="s">
        <v>632</v>
      </c>
      <c r="B171" t="s">
        <v>18</v>
      </c>
      <c r="C171" t="s">
        <v>19</v>
      </c>
      <c r="D171" t="s">
        <v>27</v>
      </c>
      <c r="E171" t="s">
        <v>177</v>
      </c>
      <c r="F171" t="s">
        <v>43</v>
      </c>
      <c r="G171">
        <v>52.2</v>
      </c>
      <c r="H171">
        <v>3</v>
      </c>
      <c r="I171">
        <v>7.83</v>
      </c>
      <c r="J171">
        <v>164.43</v>
      </c>
      <c r="K171" s="1">
        <v>43511</v>
      </c>
      <c r="L171" s="2">
        <v>0.5625</v>
      </c>
      <c r="M171" t="s">
        <v>32</v>
      </c>
      <c r="N171">
        <v>156.6</v>
      </c>
      <c r="O171">
        <v>4.7619047620000003</v>
      </c>
      <c r="P171">
        <v>7.83</v>
      </c>
      <c r="Q171">
        <v>9.5</v>
      </c>
      <c r="R171" s="3">
        <f t="shared" si="7"/>
        <v>43511.5625</v>
      </c>
      <c r="S171">
        <f t="shared" si="9"/>
        <v>174.00000000139698</v>
      </c>
      <c r="T171">
        <f t="shared" si="8"/>
        <v>174</v>
      </c>
    </row>
    <row r="172" spans="1:20">
      <c r="A172" t="s">
        <v>876</v>
      </c>
      <c r="B172" t="s">
        <v>18</v>
      </c>
      <c r="C172" t="s">
        <v>19</v>
      </c>
      <c r="D172" t="s">
        <v>27</v>
      </c>
      <c r="E172" t="s">
        <v>177</v>
      </c>
      <c r="F172" t="s">
        <v>45</v>
      </c>
      <c r="G172">
        <v>51.94</v>
      </c>
      <c r="H172">
        <v>3</v>
      </c>
      <c r="I172">
        <v>7.7910000000000004</v>
      </c>
      <c r="J172">
        <v>163.61099999999999</v>
      </c>
      <c r="K172" s="1">
        <v>43511</v>
      </c>
      <c r="L172" s="2">
        <v>0.63958333333333328</v>
      </c>
      <c r="M172" t="s">
        <v>29</v>
      </c>
      <c r="N172">
        <v>155.82</v>
      </c>
      <c r="O172">
        <v>4.7619047620000003</v>
      </c>
      <c r="P172">
        <v>7.7910000000000004</v>
      </c>
      <c r="Q172">
        <v>7.9</v>
      </c>
      <c r="R172" s="3">
        <f t="shared" si="7"/>
        <v>43511.63958333333</v>
      </c>
      <c r="S172">
        <f t="shared" si="9"/>
        <v>110.99999999511056</v>
      </c>
      <c r="T172">
        <f t="shared" si="8"/>
        <v>111</v>
      </c>
    </row>
    <row r="173" spans="1:20">
      <c r="A173" t="s">
        <v>316</v>
      </c>
      <c r="B173" t="s">
        <v>18</v>
      </c>
      <c r="C173" t="s">
        <v>19</v>
      </c>
      <c r="D173" t="s">
        <v>27</v>
      </c>
      <c r="E173" t="s">
        <v>21</v>
      </c>
      <c r="F173" t="s">
        <v>31</v>
      </c>
      <c r="G173">
        <v>69.959999999999994</v>
      </c>
      <c r="H173">
        <v>8</v>
      </c>
      <c r="I173">
        <v>27.984000000000002</v>
      </c>
      <c r="J173">
        <v>587.66399999999999</v>
      </c>
      <c r="K173" s="1">
        <v>43511</v>
      </c>
      <c r="L173" s="2">
        <v>0.70902777777777781</v>
      </c>
      <c r="M173" t="s">
        <v>32</v>
      </c>
      <c r="N173">
        <v>559.67999999999995</v>
      </c>
      <c r="O173">
        <v>4.7619047620000003</v>
      </c>
      <c r="P173">
        <v>27.984000000000002</v>
      </c>
      <c r="Q173">
        <v>6.4</v>
      </c>
      <c r="R173" s="3">
        <f t="shared" si="7"/>
        <v>43511.709027777775</v>
      </c>
      <c r="S173">
        <f t="shared" si="9"/>
        <v>100.00000000116415</v>
      </c>
      <c r="T173">
        <f t="shared" si="8"/>
        <v>100</v>
      </c>
    </row>
    <row r="174" spans="1:20">
      <c r="A174" t="s">
        <v>358</v>
      </c>
      <c r="B174" t="s">
        <v>18</v>
      </c>
      <c r="C174" t="s">
        <v>19</v>
      </c>
      <c r="D174" t="s">
        <v>27</v>
      </c>
      <c r="E174" t="s">
        <v>177</v>
      </c>
      <c r="F174" t="s">
        <v>22</v>
      </c>
      <c r="G174">
        <v>15.26</v>
      </c>
      <c r="H174">
        <v>6</v>
      </c>
      <c r="I174">
        <v>4.5780000000000003</v>
      </c>
      <c r="J174">
        <v>96.138000000000005</v>
      </c>
      <c r="K174" s="1">
        <v>43511</v>
      </c>
      <c r="L174" s="2">
        <v>0.75208333333333333</v>
      </c>
      <c r="M174" t="s">
        <v>23</v>
      </c>
      <c r="N174">
        <v>91.56</v>
      </c>
      <c r="O174">
        <v>4.7619047620000003</v>
      </c>
      <c r="P174">
        <v>4.5780000000000003</v>
      </c>
      <c r="Q174">
        <v>9.8000000000000007</v>
      </c>
      <c r="R174" s="3">
        <f t="shared" si="7"/>
        <v>43511.752083333333</v>
      </c>
      <c r="S174">
        <f t="shared" si="9"/>
        <v>62.000000003026798</v>
      </c>
      <c r="T174">
        <f t="shared" si="8"/>
        <v>62</v>
      </c>
    </row>
    <row r="175" spans="1:20" hidden="1">
      <c r="A175" t="s">
        <v>906</v>
      </c>
      <c r="B175" t="s">
        <v>18</v>
      </c>
      <c r="C175" t="s">
        <v>19</v>
      </c>
      <c r="D175" t="s">
        <v>20</v>
      </c>
      <c r="E175" t="s">
        <v>177</v>
      </c>
      <c r="F175" t="s">
        <v>43</v>
      </c>
      <c r="G175">
        <v>24.82</v>
      </c>
      <c r="H175">
        <v>7</v>
      </c>
      <c r="I175">
        <v>8.6869999999999994</v>
      </c>
      <c r="J175">
        <v>182.42699999999999</v>
      </c>
      <c r="K175" s="1">
        <v>43512</v>
      </c>
      <c r="L175" s="2">
        <v>0.43958333333333333</v>
      </c>
      <c r="M175" t="s">
        <v>32</v>
      </c>
      <c r="N175">
        <v>173.74</v>
      </c>
      <c r="O175">
        <v>4.7619047620000003</v>
      </c>
      <c r="P175">
        <v>8.6869999999999994</v>
      </c>
      <c r="Q175">
        <v>7.1</v>
      </c>
      <c r="R175" s="3">
        <f t="shared" si="7"/>
        <v>43512.439583333333</v>
      </c>
      <c r="S175" t="str">
        <f t="shared" si="9"/>
        <v/>
      </c>
      <c r="T175" t="str">
        <f t="shared" si="8"/>
        <v/>
      </c>
    </row>
    <row r="176" spans="1:20" hidden="1">
      <c r="A176" t="s">
        <v>396</v>
      </c>
      <c r="B176" t="s">
        <v>18</v>
      </c>
      <c r="C176" t="s">
        <v>19</v>
      </c>
      <c r="D176" t="s">
        <v>20</v>
      </c>
      <c r="E176" t="s">
        <v>177</v>
      </c>
      <c r="F176" t="s">
        <v>43</v>
      </c>
      <c r="G176">
        <v>80.959999999999994</v>
      </c>
      <c r="H176">
        <v>8</v>
      </c>
      <c r="I176">
        <v>32.384</v>
      </c>
      <c r="J176">
        <v>680.06399999999996</v>
      </c>
      <c r="K176" s="1">
        <v>43513</v>
      </c>
      <c r="L176" s="2">
        <v>0.46666666666666667</v>
      </c>
      <c r="M176" t="s">
        <v>32</v>
      </c>
      <c r="N176">
        <v>647.67999999999995</v>
      </c>
      <c r="O176">
        <v>4.7619047620000003</v>
      </c>
      <c r="P176">
        <v>32.384</v>
      </c>
      <c r="Q176">
        <v>7.4</v>
      </c>
      <c r="R176" s="3">
        <f t="shared" si="7"/>
        <v>43513.466666666667</v>
      </c>
      <c r="S176" t="str">
        <f t="shared" si="9"/>
        <v/>
      </c>
      <c r="T176" t="str">
        <f t="shared" si="8"/>
        <v/>
      </c>
    </row>
    <row r="177" spans="1:20">
      <c r="A177" t="s">
        <v>58</v>
      </c>
      <c r="B177" t="s">
        <v>18</v>
      </c>
      <c r="C177" t="s">
        <v>19</v>
      </c>
      <c r="D177" t="s">
        <v>20</v>
      </c>
      <c r="E177" t="s">
        <v>21</v>
      </c>
      <c r="F177" t="s">
        <v>28</v>
      </c>
      <c r="G177">
        <v>34.56</v>
      </c>
      <c r="H177">
        <v>5</v>
      </c>
      <c r="I177">
        <v>8.64</v>
      </c>
      <c r="J177">
        <v>181.44</v>
      </c>
      <c r="K177" s="1">
        <v>43513</v>
      </c>
      <c r="L177" s="2">
        <v>0.46875</v>
      </c>
      <c r="M177" t="s">
        <v>23</v>
      </c>
      <c r="N177">
        <v>172.8</v>
      </c>
      <c r="O177">
        <v>4.7619047620000003</v>
      </c>
      <c r="P177">
        <v>8.64</v>
      </c>
      <c r="Q177">
        <v>9.9</v>
      </c>
      <c r="R177" s="3">
        <f t="shared" si="7"/>
        <v>43513.46875</v>
      </c>
      <c r="S177">
        <f t="shared" si="9"/>
        <v>2.9999999993015081</v>
      </c>
      <c r="T177">
        <f t="shared" si="8"/>
        <v>3</v>
      </c>
    </row>
    <row r="178" spans="1:20">
      <c r="A178" t="s">
        <v>754</v>
      </c>
      <c r="B178" t="s">
        <v>18</v>
      </c>
      <c r="C178" t="s">
        <v>19</v>
      </c>
      <c r="D178" t="s">
        <v>27</v>
      </c>
      <c r="E178" t="s">
        <v>177</v>
      </c>
      <c r="F178" t="s">
        <v>45</v>
      </c>
      <c r="G178">
        <v>45.38</v>
      </c>
      <c r="H178">
        <v>3</v>
      </c>
      <c r="I178">
        <v>6.8070000000000004</v>
      </c>
      <c r="J178">
        <v>142.947</v>
      </c>
      <c r="K178" s="1">
        <v>43513</v>
      </c>
      <c r="L178" s="2">
        <v>0.56527777777777777</v>
      </c>
      <c r="M178" t="s">
        <v>32</v>
      </c>
      <c r="N178">
        <v>136.13999999999999</v>
      </c>
      <c r="O178">
        <v>4.7619047620000003</v>
      </c>
      <c r="P178">
        <v>6.8070000000000004</v>
      </c>
      <c r="Q178">
        <v>7.2</v>
      </c>
      <c r="R178" s="3">
        <f t="shared" si="7"/>
        <v>43513.56527777778</v>
      </c>
      <c r="S178">
        <f t="shared" si="9"/>
        <v>139.00000000256114</v>
      </c>
      <c r="T178">
        <f t="shared" si="8"/>
        <v>139</v>
      </c>
    </row>
    <row r="179" spans="1:20">
      <c r="A179" t="s">
        <v>974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92.09</v>
      </c>
      <c r="H179">
        <v>3</v>
      </c>
      <c r="I179">
        <v>13.813499999999999</v>
      </c>
      <c r="J179">
        <v>290.08350000000002</v>
      </c>
      <c r="K179" s="1">
        <v>43513</v>
      </c>
      <c r="L179" s="2">
        <v>0.68541666666666667</v>
      </c>
      <c r="M179" t="s">
        <v>29</v>
      </c>
      <c r="N179">
        <v>276.27</v>
      </c>
      <c r="O179">
        <v>4.7619047620000003</v>
      </c>
      <c r="P179">
        <v>13.813499999999999</v>
      </c>
      <c r="Q179">
        <v>4.2</v>
      </c>
      <c r="R179" s="3">
        <f t="shared" si="7"/>
        <v>43513.685416666667</v>
      </c>
      <c r="S179">
        <f t="shared" si="9"/>
        <v>172.99999999813735</v>
      </c>
      <c r="T179">
        <f t="shared" si="8"/>
        <v>173</v>
      </c>
    </row>
    <row r="180" spans="1:20">
      <c r="A180" t="s">
        <v>343</v>
      </c>
      <c r="B180" t="s">
        <v>18</v>
      </c>
      <c r="C180" t="s">
        <v>19</v>
      </c>
      <c r="D180" t="s">
        <v>20</v>
      </c>
      <c r="E180" t="s">
        <v>21</v>
      </c>
      <c r="F180" t="s">
        <v>31</v>
      </c>
      <c r="G180">
        <v>88.79</v>
      </c>
      <c r="H180">
        <v>8</v>
      </c>
      <c r="I180">
        <v>35.515999999999998</v>
      </c>
      <c r="J180">
        <v>745.83600000000001</v>
      </c>
      <c r="K180" s="1">
        <v>43513</v>
      </c>
      <c r="L180" s="2">
        <v>0.71458333333333335</v>
      </c>
      <c r="M180" t="s">
        <v>29</v>
      </c>
      <c r="N180">
        <v>710.32</v>
      </c>
      <c r="O180">
        <v>4.7619047620000003</v>
      </c>
      <c r="P180">
        <v>35.515999999999998</v>
      </c>
      <c r="Q180">
        <v>4.0999999999999996</v>
      </c>
      <c r="R180" s="3">
        <f t="shared" si="7"/>
        <v>43513.714583333334</v>
      </c>
      <c r="S180">
        <f t="shared" si="9"/>
        <v>42.000000000698492</v>
      </c>
      <c r="T180">
        <f t="shared" si="8"/>
        <v>42</v>
      </c>
    </row>
    <row r="181" spans="1:20">
      <c r="A181" t="s">
        <v>367</v>
      </c>
      <c r="B181" t="s">
        <v>18</v>
      </c>
      <c r="C181" t="s">
        <v>19</v>
      </c>
      <c r="D181" t="s">
        <v>27</v>
      </c>
      <c r="E181" t="s">
        <v>177</v>
      </c>
      <c r="F181" t="s">
        <v>43</v>
      </c>
      <c r="G181">
        <v>32.9</v>
      </c>
      <c r="H181">
        <v>3</v>
      </c>
      <c r="I181">
        <v>4.9349999999999996</v>
      </c>
      <c r="J181">
        <v>103.63500000000001</v>
      </c>
      <c r="K181" s="1">
        <v>43513</v>
      </c>
      <c r="L181" s="2">
        <v>0.7270833333333333</v>
      </c>
      <c r="M181" t="s">
        <v>32</v>
      </c>
      <c r="N181">
        <v>98.7</v>
      </c>
      <c r="O181">
        <v>4.7619047620000003</v>
      </c>
      <c r="P181">
        <v>4.9349999999999996</v>
      </c>
      <c r="Q181">
        <v>9.1</v>
      </c>
      <c r="R181" s="3">
        <f t="shared" si="7"/>
        <v>43513.727083333331</v>
      </c>
      <c r="S181">
        <f t="shared" si="9"/>
        <v>17.999999995809048</v>
      </c>
      <c r="T181">
        <f t="shared" si="8"/>
        <v>18</v>
      </c>
    </row>
    <row r="182" spans="1:20">
      <c r="A182" t="s">
        <v>565</v>
      </c>
      <c r="B182" t="s">
        <v>18</v>
      </c>
      <c r="C182" t="s">
        <v>19</v>
      </c>
      <c r="D182" t="s">
        <v>27</v>
      </c>
      <c r="E182" t="s">
        <v>177</v>
      </c>
      <c r="F182" t="s">
        <v>35</v>
      </c>
      <c r="G182">
        <v>98.09</v>
      </c>
      <c r="H182">
        <v>9</v>
      </c>
      <c r="I182">
        <v>44.140500000000003</v>
      </c>
      <c r="J182">
        <v>926.95050000000003</v>
      </c>
      <c r="K182" s="1">
        <v>43513</v>
      </c>
      <c r="L182" s="2">
        <v>0.82013888888888886</v>
      </c>
      <c r="M182" t="s">
        <v>29</v>
      </c>
      <c r="N182">
        <v>882.81</v>
      </c>
      <c r="O182">
        <v>4.7619047620000003</v>
      </c>
      <c r="P182">
        <v>44.140500000000003</v>
      </c>
      <c r="Q182">
        <v>9.3000000000000007</v>
      </c>
      <c r="R182" s="3">
        <f t="shared" si="7"/>
        <v>43513.820138888892</v>
      </c>
      <c r="S182">
        <f t="shared" si="9"/>
        <v>134.00000000721775</v>
      </c>
      <c r="T182">
        <f t="shared" si="8"/>
        <v>134</v>
      </c>
    </row>
    <row r="183" spans="1:20" hidden="1">
      <c r="A183" t="s">
        <v>1035</v>
      </c>
      <c r="B183" t="s">
        <v>18</v>
      </c>
      <c r="C183" t="s">
        <v>19</v>
      </c>
      <c r="D183" t="s">
        <v>20</v>
      </c>
      <c r="E183" t="s">
        <v>21</v>
      </c>
      <c r="F183" t="s">
        <v>45</v>
      </c>
      <c r="G183">
        <v>88.34</v>
      </c>
      <c r="H183">
        <v>7</v>
      </c>
      <c r="I183">
        <v>30.919</v>
      </c>
      <c r="J183">
        <v>649.29899999999998</v>
      </c>
      <c r="K183" s="1">
        <v>43514</v>
      </c>
      <c r="L183" s="2">
        <v>0.56111111111111112</v>
      </c>
      <c r="M183" t="s">
        <v>29</v>
      </c>
      <c r="N183">
        <v>618.38</v>
      </c>
      <c r="O183">
        <v>4.7619047620000003</v>
      </c>
      <c r="P183">
        <v>30.919</v>
      </c>
      <c r="Q183">
        <v>6.6</v>
      </c>
      <c r="R183" s="3">
        <f t="shared" si="7"/>
        <v>43514.561111111114</v>
      </c>
      <c r="S183" t="str">
        <f t="shared" si="9"/>
        <v/>
      </c>
      <c r="T183" t="str">
        <f t="shared" si="8"/>
        <v/>
      </c>
    </row>
    <row r="184" spans="1:20">
      <c r="A184" t="s">
        <v>172</v>
      </c>
      <c r="B184" t="s">
        <v>18</v>
      </c>
      <c r="C184" t="s">
        <v>19</v>
      </c>
      <c r="D184" t="s">
        <v>20</v>
      </c>
      <c r="E184" t="s">
        <v>21</v>
      </c>
      <c r="F184" t="s">
        <v>31</v>
      </c>
      <c r="G184">
        <v>34.42</v>
      </c>
      <c r="H184">
        <v>6</v>
      </c>
      <c r="I184">
        <v>10.326000000000001</v>
      </c>
      <c r="J184">
        <v>216.846</v>
      </c>
      <c r="K184" s="1">
        <v>43514</v>
      </c>
      <c r="L184" s="2">
        <v>0.65208333333333335</v>
      </c>
      <c r="M184" t="s">
        <v>29</v>
      </c>
      <c r="N184">
        <v>206.52</v>
      </c>
      <c r="O184">
        <v>4.7619047620000003</v>
      </c>
      <c r="P184">
        <v>10.326000000000001</v>
      </c>
      <c r="Q184">
        <v>9.8000000000000007</v>
      </c>
      <c r="R184" s="3">
        <f t="shared" si="7"/>
        <v>43514.652083333334</v>
      </c>
      <c r="S184">
        <f t="shared" si="9"/>
        <v>130.99999999743886</v>
      </c>
      <c r="T184">
        <f t="shared" si="8"/>
        <v>131</v>
      </c>
    </row>
    <row r="185" spans="1:20">
      <c r="A185" t="s">
        <v>328</v>
      </c>
      <c r="B185" t="s">
        <v>18</v>
      </c>
      <c r="C185" t="s">
        <v>19</v>
      </c>
      <c r="D185" t="s">
        <v>20</v>
      </c>
      <c r="E185" t="s">
        <v>21</v>
      </c>
      <c r="F185" t="s">
        <v>28</v>
      </c>
      <c r="G185">
        <v>62.48</v>
      </c>
      <c r="H185">
        <v>1</v>
      </c>
      <c r="I185">
        <v>3.1240000000000001</v>
      </c>
      <c r="J185">
        <v>65.603999999999999</v>
      </c>
      <c r="K185" s="1">
        <v>43514</v>
      </c>
      <c r="L185" s="2">
        <v>0.85347222222222219</v>
      </c>
      <c r="M185" t="s">
        <v>29</v>
      </c>
      <c r="N185">
        <v>62.48</v>
      </c>
      <c r="O185">
        <v>4.7619047620000003</v>
      </c>
      <c r="P185">
        <v>3.1240000000000001</v>
      </c>
      <c r="Q185">
        <v>4.7</v>
      </c>
      <c r="R185" s="3">
        <f t="shared" si="7"/>
        <v>43514.853472222225</v>
      </c>
      <c r="S185">
        <f t="shared" si="9"/>
        <v>290.00000000232831</v>
      </c>
      <c r="T185">
        <f t="shared" si="8"/>
        <v>290</v>
      </c>
    </row>
    <row r="186" spans="1:20" hidden="1">
      <c r="A186" t="s">
        <v>887</v>
      </c>
      <c r="B186" t="s">
        <v>18</v>
      </c>
      <c r="C186" t="s">
        <v>19</v>
      </c>
      <c r="D186" t="s">
        <v>27</v>
      </c>
      <c r="E186" t="s">
        <v>21</v>
      </c>
      <c r="F186" t="s">
        <v>45</v>
      </c>
      <c r="G186">
        <v>98.48</v>
      </c>
      <c r="H186">
        <v>2</v>
      </c>
      <c r="I186">
        <v>9.8480000000000008</v>
      </c>
      <c r="J186">
        <v>206.80799999999999</v>
      </c>
      <c r="K186" s="1">
        <v>43515</v>
      </c>
      <c r="L186" s="2">
        <v>0.42499999999999999</v>
      </c>
      <c r="M186" t="s">
        <v>23</v>
      </c>
      <c r="N186">
        <v>196.96</v>
      </c>
      <c r="O186">
        <v>4.7619047620000003</v>
      </c>
      <c r="P186">
        <v>9.8480000000000008</v>
      </c>
      <c r="Q186">
        <v>9.1999999999999993</v>
      </c>
      <c r="R186" s="3">
        <f t="shared" si="7"/>
        <v>43515.425000000003</v>
      </c>
      <c r="S186" t="str">
        <f t="shared" si="9"/>
        <v/>
      </c>
      <c r="T186" t="str">
        <f t="shared" si="8"/>
        <v/>
      </c>
    </row>
    <row r="187" spans="1:20">
      <c r="A187" t="s">
        <v>979</v>
      </c>
      <c r="B187" t="s">
        <v>18</v>
      </c>
      <c r="C187" t="s">
        <v>19</v>
      </c>
      <c r="D187" t="s">
        <v>27</v>
      </c>
      <c r="E187" t="s">
        <v>177</v>
      </c>
      <c r="F187" t="s">
        <v>22</v>
      </c>
      <c r="G187">
        <v>50.79</v>
      </c>
      <c r="H187">
        <v>5</v>
      </c>
      <c r="I187">
        <v>12.6975</v>
      </c>
      <c r="J187">
        <v>266.64749999999998</v>
      </c>
      <c r="K187" s="1">
        <v>43515</v>
      </c>
      <c r="L187" s="2">
        <v>0.62013888888888891</v>
      </c>
      <c r="M187" t="s">
        <v>32</v>
      </c>
      <c r="N187">
        <v>253.95</v>
      </c>
      <c r="O187">
        <v>4.7619047620000003</v>
      </c>
      <c r="P187">
        <v>12.6975</v>
      </c>
      <c r="Q187">
        <v>5.3</v>
      </c>
      <c r="R187" s="3">
        <f t="shared" si="7"/>
        <v>43515.620138888888</v>
      </c>
      <c r="S187">
        <f t="shared" si="9"/>
        <v>280.9999999939464</v>
      </c>
      <c r="T187">
        <f t="shared" si="8"/>
        <v>281</v>
      </c>
    </row>
    <row r="188" spans="1:20">
      <c r="A188" t="s">
        <v>995</v>
      </c>
      <c r="B188" t="s">
        <v>18</v>
      </c>
      <c r="C188" t="s">
        <v>19</v>
      </c>
      <c r="D188" t="s">
        <v>20</v>
      </c>
      <c r="E188" t="s">
        <v>21</v>
      </c>
      <c r="F188" t="s">
        <v>43</v>
      </c>
      <c r="G188">
        <v>98.66</v>
      </c>
      <c r="H188">
        <v>9</v>
      </c>
      <c r="I188">
        <v>44.396999999999998</v>
      </c>
      <c r="J188">
        <v>932.33699999999999</v>
      </c>
      <c r="K188" s="1">
        <v>43515</v>
      </c>
      <c r="L188" s="2">
        <v>0.62986111111111109</v>
      </c>
      <c r="M188" t="s">
        <v>29</v>
      </c>
      <c r="N188">
        <v>887.94</v>
      </c>
      <c r="O188">
        <v>4.7619047620000003</v>
      </c>
      <c r="P188">
        <v>44.396999999999998</v>
      </c>
      <c r="Q188">
        <v>8.4</v>
      </c>
      <c r="R188" s="3">
        <f t="shared" si="7"/>
        <v>43515.629861111112</v>
      </c>
      <c r="S188">
        <f t="shared" si="9"/>
        <v>14.00000000372529</v>
      </c>
      <c r="T188">
        <f t="shared" si="8"/>
        <v>14</v>
      </c>
    </row>
    <row r="189" spans="1:20">
      <c r="A189" t="s">
        <v>734</v>
      </c>
      <c r="B189" t="s">
        <v>18</v>
      </c>
      <c r="C189" t="s">
        <v>19</v>
      </c>
      <c r="D189" t="s">
        <v>20</v>
      </c>
      <c r="E189" t="s">
        <v>177</v>
      </c>
      <c r="F189" t="s">
        <v>28</v>
      </c>
      <c r="G189">
        <v>69.58</v>
      </c>
      <c r="H189">
        <v>9</v>
      </c>
      <c r="I189">
        <v>31.311</v>
      </c>
      <c r="J189">
        <v>657.53099999999995</v>
      </c>
      <c r="K189" s="1">
        <v>43515</v>
      </c>
      <c r="L189" s="2">
        <v>0.81805555555555554</v>
      </c>
      <c r="M189" t="s">
        <v>32</v>
      </c>
      <c r="N189">
        <v>626.22</v>
      </c>
      <c r="O189">
        <v>4.7619047620000003</v>
      </c>
      <c r="P189">
        <v>31.311</v>
      </c>
      <c r="Q189">
        <v>7.8</v>
      </c>
      <c r="R189" s="3">
        <f t="shared" si="7"/>
        <v>43515.818055555559</v>
      </c>
      <c r="S189">
        <f t="shared" si="9"/>
        <v>271.00000000325963</v>
      </c>
      <c r="T189">
        <f t="shared" si="8"/>
        <v>271</v>
      </c>
    </row>
    <row r="190" spans="1:20" hidden="1">
      <c r="A190" t="s">
        <v>779</v>
      </c>
      <c r="B190" t="s">
        <v>18</v>
      </c>
      <c r="C190" t="s">
        <v>19</v>
      </c>
      <c r="D190" t="s">
        <v>20</v>
      </c>
      <c r="E190" t="s">
        <v>177</v>
      </c>
      <c r="F190" t="s">
        <v>31</v>
      </c>
      <c r="G190">
        <v>37.69</v>
      </c>
      <c r="H190">
        <v>2</v>
      </c>
      <c r="I190">
        <v>3.7690000000000001</v>
      </c>
      <c r="J190">
        <v>79.149000000000001</v>
      </c>
      <c r="K190" s="1">
        <v>43516</v>
      </c>
      <c r="L190" s="2">
        <v>0.64513888888888893</v>
      </c>
      <c r="M190" t="s">
        <v>23</v>
      </c>
      <c r="N190">
        <v>75.38</v>
      </c>
      <c r="O190">
        <v>4.7619047620000003</v>
      </c>
      <c r="P190">
        <v>3.7690000000000001</v>
      </c>
      <c r="Q190">
        <v>9.5</v>
      </c>
      <c r="R190" s="3">
        <f t="shared" si="7"/>
        <v>43516.645138888889</v>
      </c>
      <c r="S190" t="str">
        <f t="shared" si="9"/>
        <v/>
      </c>
      <c r="T190" t="str">
        <f t="shared" si="8"/>
        <v/>
      </c>
    </row>
    <row r="191" spans="1:20">
      <c r="A191" t="s">
        <v>191</v>
      </c>
      <c r="B191" t="s">
        <v>18</v>
      </c>
      <c r="C191" t="s">
        <v>19</v>
      </c>
      <c r="D191" t="s">
        <v>20</v>
      </c>
      <c r="E191" t="s">
        <v>177</v>
      </c>
      <c r="F191" t="s">
        <v>43</v>
      </c>
      <c r="G191">
        <v>92.29</v>
      </c>
      <c r="H191">
        <v>5</v>
      </c>
      <c r="I191">
        <v>23.072500000000002</v>
      </c>
      <c r="J191">
        <v>484.52249999999998</v>
      </c>
      <c r="K191" s="1">
        <v>43516</v>
      </c>
      <c r="L191" s="2">
        <v>0.66319444444444442</v>
      </c>
      <c r="M191" t="s">
        <v>32</v>
      </c>
      <c r="N191">
        <v>461.45</v>
      </c>
      <c r="O191">
        <v>4.7619047620000003</v>
      </c>
      <c r="P191">
        <v>23.072500000000002</v>
      </c>
      <c r="Q191">
        <v>9</v>
      </c>
      <c r="R191" s="3">
        <f t="shared" si="7"/>
        <v>43516.663194444445</v>
      </c>
      <c r="S191">
        <f t="shared" si="9"/>
        <v>26.000000000931323</v>
      </c>
      <c r="T191">
        <f t="shared" si="8"/>
        <v>26</v>
      </c>
    </row>
    <row r="192" spans="1:20">
      <c r="A192" t="s">
        <v>423</v>
      </c>
      <c r="B192" t="s">
        <v>18</v>
      </c>
      <c r="C192" t="s">
        <v>19</v>
      </c>
      <c r="D192" t="s">
        <v>27</v>
      </c>
      <c r="E192" t="s">
        <v>21</v>
      </c>
      <c r="F192" t="s">
        <v>22</v>
      </c>
      <c r="G192">
        <v>32.32</v>
      </c>
      <c r="H192">
        <v>10</v>
      </c>
      <c r="I192">
        <v>16.16</v>
      </c>
      <c r="J192">
        <v>339.36</v>
      </c>
      <c r="K192" s="1">
        <v>43516</v>
      </c>
      <c r="L192" s="2">
        <v>0.7006944444444444</v>
      </c>
      <c r="M192" t="s">
        <v>32</v>
      </c>
      <c r="N192">
        <v>323.2</v>
      </c>
      <c r="O192">
        <v>4.7619047620000003</v>
      </c>
      <c r="P192">
        <v>16.16</v>
      </c>
      <c r="Q192">
        <v>10</v>
      </c>
      <c r="R192" s="3">
        <f t="shared" si="7"/>
        <v>43516.700694444444</v>
      </c>
      <c r="S192">
        <f t="shared" si="9"/>
        <v>53.999999997904524</v>
      </c>
      <c r="T192">
        <f t="shared" si="8"/>
        <v>54</v>
      </c>
    </row>
    <row r="193" spans="1:20" hidden="1">
      <c r="A193" t="s">
        <v>253</v>
      </c>
      <c r="B193" t="s">
        <v>18</v>
      </c>
      <c r="C193" t="s">
        <v>19</v>
      </c>
      <c r="D193" t="s">
        <v>20</v>
      </c>
      <c r="E193" t="s">
        <v>21</v>
      </c>
      <c r="F193" t="s">
        <v>28</v>
      </c>
      <c r="G193">
        <v>94.64</v>
      </c>
      <c r="H193">
        <v>3</v>
      </c>
      <c r="I193">
        <v>14.196</v>
      </c>
      <c r="J193">
        <v>298.11599999999999</v>
      </c>
      <c r="K193" s="1">
        <v>43517</v>
      </c>
      <c r="L193" s="2">
        <v>0.70486111111111116</v>
      </c>
      <c r="M193" t="s">
        <v>29</v>
      </c>
      <c r="N193">
        <v>283.92</v>
      </c>
      <c r="O193">
        <v>4.7619047620000003</v>
      </c>
      <c r="P193">
        <v>14.196</v>
      </c>
      <c r="Q193">
        <v>5.5</v>
      </c>
      <c r="R193" s="3">
        <f t="shared" si="7"/>
        <v>43517.704861111109</v>
      </c>
      <c r="S193" t="str">
        <f t="shared" si="9"/>
        <v/>
      </c>
      <c r="T193" t="str">
        <f t="shared" si="8"/>
        <v/>
      </c>
    </row>
    <row r="194" spans="1:20" hidden="1">
      <c r="A194" t="s">
        <v>788</v>
      </c>
      <c r="B194" t="s">
        <v>18</v>
      </c>
      <c r="C194" t="s">
        <v>19</v>
      </c>
      <c r="D194" t="s">
        <v>20</v>
      </c>
      <c r="E194" t="s">
        <v>21</v>
      </c>
      <c r="F194" t="s">
        <v>28</v>
      </c>
      <c r="G194">
        <v>17.420000000000002</v>
      </c>
      <c r="H194">
        <v>10</v>
      </c>
      <c r="I194">
        <v>8.7100000000000009</v>
      </c>
      <c r="J194">
        <v>182.91</v>
      </c>
      <c r="K194" s="1">
        <v>43518</v>
      </c>
      <c r="L194" s="2">
        <v>0.52083333333333337</v>
      </c>
      <c r="M194" t="s">
        <v>23</v>
      </c>
      <c r="N194">
        <v>174.2</v>
      </c>
      <c r="O194">
        <v>4.7619047620000003</v>
      </c>
      <c r="P194">
        <v>8.7100000000000009</v>
      </c>
      <c r="Q194">
        <v>7</v>
      </c>
      <c r="R194" s="3">
        <f t="shared" ref="R194:R257" si="10">K194+L194</f>
        <v>43518.520833333336</v>
      </c>
      <c r="S194" t="str">
        <f t="shared" si="9"/>
        <v/>
      </c>
      <c r="T194" t="str">
        <f t="shared" si="8"/>
        <v/>
      </c>
    </row>
    <row r="195" spans="1:20">
      <c r="A195" t="s">
        <v>833</v>
      </c>
      <c r="B195" t="s">
        <v>18</v>
      </c>
      <c r="C195" t="s">
        <v>19</v>
      </c>
      <c r="D195" t="s">
        <v>20</v>
      </c>
      <c r="E195" t="s">
        <v>21</v>
      </c>
      <c r="F195" t="s">
        <v>35</v>
      </c>
      <c r="G195">
        <v>24.49</v>
      </c>
      <c r="H195">
        <v>10</v>
      </c>
      <c r="I195">
        <v>12.244999999999999</v>
      </c>
      <c r="J195">
        <v>257.14499999999998</v>
      </c>
      <c r="K195" s="1">
        <v>43518</v>
      </c>
      <c r="L195" s="2">
        <v>0.63541666666666663</v>
      </c>
      <c r="M195" t="s">
        <v>29</v>
      </c>
      <c r="N195">
        <v>244.9</v>
      </c>
      <c r="O195">
        <v>4.7619047620000003</v>
      </c>
      <c r="P195">
        <v>12.244999999999999</v>
      </c>
      <c r="Q195">
        <v>8.1</v>
      </c>
      <c r="R195" s="3">
        <f t="shared" si="10"/>
        <v>43518.635416666664</v>
      </c>
      <c r="S195">
        <f t="shared" si="9"/>
        <v>164.99999999301508</v>
      </c>
      <c r="T195">
        <f t="shared" ref="T195:T258" si="11">IF(S195="","",ROUND(S195,2))</f>
        <v>165</v>
      </c>
    </row>
    <row r="196" spans="1:20">
      <c r="A196" t="s">
        <v>1034</v>
      </c>
      <c r="B196" t="s">
        <v>18</v>
      </c>
      <c r="C196" t="s">
        <v>19</v>
      </c>
      <c r="D196" t="s">
        <v>27</v>
      </c>
      <c r="E196" t="s">
        <v>177</v>
      </c>
      <c r="F196" t="s">
        <v>31</v>
      </c>
      <c r="G196">
        <v>65.819999999999993</v>
      </c>
      <c r="H196">
        <v>1</v>
      </c>
      <c r="I196">
        <v>3.2909999999999999</v>
      </c>
      <c r="J196">
        <v>69.111000000000004</v>
      </c>
      <c r="K196" s="1">
        <v>43518</v>
      </c>
      <c r="L196" s="2">
        <v>0.6479166666666667</v>
      </c>
      <c r="M196" t="s">
        <v>29</v>
      </c>
      <c r="N196">
        <v>65.819999999999993</v>
      </c>
      <c r="O196">
        <v>4.7619047620000003</v>
      </c>
      <c r="P196">
        <v>3.2909999999999999</v>
      </c>
      <c r="Q196">
        <v>4.0999999999999996</v>
      </c>
      <c r="R196" s="3">
        <f t="shared" si="10"/>
        <v>43518.647916666669</v>
      </c>
      <c r="S196">
        <f t="shared" si="9"/>
        <v>18.000000006286427</v>
      </c>
      <c r="T196">
        <f t="shared" si="11"/>
        <v>18</v>
      </c>
    </row>
    <row r="197" spans="1:20" hidden="1">
      <c r="A197" t="s">
        <v>713</v>
      </c>
      <c r="B197" t="s">
        <v>18</v>
      </c>
      <c r="C197" t="s">
        <v>19</v>
      </c>
      <c r="D197" t="s">
        <v>20</v>
      </c>
      <c r="E197" t="s">
        <v>21</v>
      </c>
      <c r="F197" t="s">
        <v>43</v>
      </c>
      <c r="G197">
        <v>73.47</v>
      </c>
      <c r="H197">
        <v>4</v>
      </c>
      <c r="I197">
        <v>14.694000000000001</v>
      </c>
      <c r="J197">
        <v>308.57400000000001</v>
      </c>
      <c r="K197" s="1">
        <v>43519</v>
      </c>
      <c r="L197" s="2">
        <v>0.77083333333333337</v>
      </c>
      <c r="M197" t="s">
        <v>29</v>
      </c>
      <c r="N197">
        <v>293.88</v>
      </c>
      <c r="O197">
        <v>4.7619047620000003</v>
      </c>
      <c r="P197">
        <v>14.694000000000001</v>
      </c>
      <c r="Q197">
        <v>6</v>
      </c>
      <c r="R197" s="3">
        <f t="shared" si="10"/>
        <v>43519.770833333336</v>
      </c>
      <c r="S197" t="str">
        <f t="shared" si="9"/>
        <v/>
      </c>
      <c r="T197" t="str">
        <f t="shared" si="11"/>
        <v/>
      </c>
    </row>
    <row r="198" spans="1:20" hidden="1">
      <c r="A198" t="s">
        <v>857</v>
      </c>
      <c r="B198" t="s">
        <v>18</v>
      </c>
      <c r="C198" t="s">
        <v>19</v>
      </c>
      <c r="D198" t="s">
        <v>20</v>
      </c>
      <c r="E198" t="s">
        <v>21</v>
      </c>
      <c r="F198" t="s">
        <v>31</v>
      </c>
      <c r="G198">
        <v>47.68</v>
      </c>
      <c r="H198">
        <v>2</v>
      </c>
      <c r="I198">
        <v>4.7679999999999998</v>
      </c>
      <c r="J198">
        <v>100.128</v>
      </c>
      <c r="K198" s="1">
        <v>43520</v>
      </c>
      <c r="L198" s="2">
        <v>0.4236111111111111</v>
      </c>
      <c r="M198" t="s">
        <v>32</v>
      </c>
      <c r="N198">
        <v>95.36</v>
      </c>
      <c r="O198">
        <v>4.7619047620000003</v>
      </c>
      <c r="P198">
        <v>4.7679999999999998</v>
      </c>
      <c r="Q198">
        <v>4.0999999999999996</v>
      </c>
      <c r="R198" s="3">
        <f t="shared" si="10"/>
        <v>43520.423611111109</v>
      </c>
      <c r="S198" t="str">
        <f t="shared" si="9"/>
        <v/>
      </c>
      <c r="T198" t="str">
        <f t="shared" si="11"/>
        <v/>
      </c>
    </row>
    <row r="199" spans="1:20">
      <c r="A199" t="s">
        <v>847</v>
      </c>
      <c r="B199" t="s">
        <v>18</v>
      </c>
      <c r="C199" t="s">
        <v>19</v>
      </c>
      <c r="D199" t="s">
        <v>27</v>
      </c>
      <c r="E199" t="s">
        <v>21</v>
      </c>
      <c r="F199" t="s">
        <v>28</v>
      </c>
      <c r="G199">
        <v>40.26</v>
      </c>
      <c r="H199">
        <v>10</v>
      </c>
      <c r="I199">
        <v>20.13</v>
      </c>
      <c r="J199">
        <v>422.73</v>
      </c>
      <c r="K199" s="1">
        <v>43520</v>
      </c>
      <c r="L199" s="2">
        <v>0.75416666666666665</v>
      </c>
      <c r="M199" t="s">
        <v>32</v>
      </c>
      <c r="N199">
        <v>402.6</v>
      </c>
      <c r="O199">
        <v>4.7619047620000003</v>
      </c>
      <c r="P199">
        <v>20.13</v>
      </c>
      <c r="Q199">
        <v>5</v>
      </c>
      <c r="R199" s="3">
        <f t="shared" si="10"/>
        <v>43520.754166666666</v>
      </c>
      <c r="S199">
        <f t="shared" si="9"/>
        <v>476.00000000093132</v>
      </c>
      <c r="T199">
        <f t="shared" si="11"/>
        <v>476</v>
      </c>
    </row>
    <row r="200" spans="1:20" hidden="1">
      <c r="A200" t="s">
        <v>37</v>
      </c>
      <c r="B200" t="s">
        <v>18</v>
      </c>
      <c r="C200" t="s">
        <v>19</v>
      </c>
      <c r="D200" t="s">
        <v>20</v>
      </c>
      <c r="E200" t="s">
        <v>21</v>
      </c>
      <c r="F200" t="s">
        <v>28</v>
      </c>
      <c r="G200">
        <v>68.84</v>
      </c>
      <c r="H200">
        <v>6</v>
      </c>
      <c r="I200">
        <v>20.652000000000001</v>
      </c>
      <c r="J200">
        <v>433.69200000000001</v>
      </c>
      <c r="K200" s="1">
        <v>43521</v>
      </c>
      <c r="L200" s="2">
        <v>0.60833333333333328</v>
      </c>
      <c r="M200" t="s">
        <v>23</v>
      </c>
      <c r="N200">
        <v>413.04</v>
      </c>
      <c r="O200">
        <v>4.7619047620000003</v>
      </c>
      <c r="P200">
        <v>20.652000000000001</v>
      </c>
      <c r="Q200">
        <v>5.8</v>
      </c>
      <c r="R200" s="3">
        <f t="shared" si="10"/>
        <v>43521.60833333333</v>
      </c>
      <c r="S200" t="str">
        <f t="shared" si="9"/>
        <v/>
      </c>
      <c r="T200" t="str">
        <f t="shared" si="11"/>
        <v/>
      </c>
    </row>
    <row r="201" spans="1:20">
      <c r="A201" t="s">
        <v>561</v>
      </c>
      <c r="B201" t="s">
        <v>18</v>
      </c>
      <c r="C201" t="s">
        <v>19</v>
      </c>
      <c r="D201" t="s">
        <v>20</v>
      </c>
      <c r="E201" t="s">
        <v>21</v>
      </c>
      <c r="F201" t="s">
        <v>35</v>
      </c>
      <c r="G201">
        <v>91.41</v>
      </c>
      <c r="H201">
        <v>5</v>
      </c>
      <c r="I201">
        <v>22.852499999999999</v>
      </c>
      <c r="J201">
        <v>479.90249999999997</v>
      </c>
      <c r="K201" s="1">
        <v>43521</v>
      </c>
      <c r="L201" s="2">
        <v>0.66874999999999996</v>
      </c>
      <c r="M201" t="s">
        <v>23</v>
      </c>
      <c r="N201">
        <v>457.05</v>
      </c>
      <c r="O201">
        <v>4.7619047620000003</v>
      </c>
      <c r="P201">
        <v>22.852499999999999</v>
      </c>
      <c r="Q201">
        <v>7.1</v>
      </c>
      <c r="R201" s="3">
        <f t="shared" si="10"/>
        <v>43521.668749999997</v>
      </c>
      <c r="S201">
        <f t="shared" si="9"/>
        <v>87.000000000698492</v>
      </c>
      <c r="T201">
        <f t="shared" si="11"/>
        <v>87</v>
      </c>
    </row>
    <row r="202" spans="1:20">
      <c r="A202" t="s">
        <v>197</v>
      </c>
      <c r="B202" t="s">
        <v>18</v>
      </c>
      <c r="C202" t="s">
        <v>19</v>
      </c>
      <c r="D202" t="s">
        <v>27</v>
      </c>
      <c r="E202" t="s">
        <v>177</v>
      </c>
      <c r="F202" t="s">
        <v>35</v>
      </c>
      <c r="G202">
        <v>63.69</v>
      </c>
      <c r="H202">
        <v>1</v>
      </c>
      <c r="I202">
        <v>3.1844999999999999</v>
      </c>
      <c r="J202">
        <v>66.874499999999998</v>
      </c>
      <c r="K202" s="1">
        <v>43521</v>
      </c>
      <c r="L202" s="2">
        <v>0.68125000000000002</v>
      </c>
      <c r="M202" t="s">
        <v>29</v>
      </c>
      <c r="N202">
        <v>63.69</v>
      </c>
      <c r="O202">
        <v>4.7619047620000003</v>
      </c>
      <c r="P202">
        <v>3.1844999999999999</v>
      </c>
      <c r="Q202">
        <v>6</v>
      </c>
      <c r="R202" s="3">
        <f t="shared" si="10"/>
        <v>43521.681250000001</v>
      </c>
      <c r="S202">
        <f t="shared" si="9"/>
        <v>18.000000006286427</v>
      </c>
      <c r="T202">
        <f t="shared" si="11"/>
        <v>18</v>
      </c>
    </row>
    <row r="203" spans="1:20">
      <c r="A203" t="s">
        <v>574</v>
      </c>
      <c r="B203" t="s">
        <v>18</v>
      </c>
      <c r="C203" t="s">
        <v>19</v>
      </c>
      <c r="D203" t="s">
        <v>27</v>
      </c>
      <c r="E203" t="s">
        <v>21</v>
      </c>
      <c r="F203" t="s">
        <v>45</v>
      </c>
      <c r="G203">
        <v>73.05</v>
      </c>
      <c r="H203">
        <v>4</v>
      </c>
      <c r="I203">
        <v>14.61</v>
      </c>
      <c r="J203">
        <v>306.81</v>
      </c>
      <c r="K203" s="1">
        <v>43521</v>
      </c>
      <c r="L203" s="2">
        <v>0.71944444444444444</v>
      </c>
      <c r="M203" t="s">
        <v>32</v>
      </c>
      <c r="N203">
        <v>292.2</v>
      </c>
      <c r="O203">
        <v>4.7619047620000003</v>
      </c>
      <c r="P203">
        <v>14.61</v>
      </c>
      <c r="Q203">
        <v>4.9000000000000004</v>
      </c>
      <c r="R203" s="3">
        <f t="shared" si="10"/>
        <v>43521.719444444447</v>
      </c>
      <c r="S203">
        <f t="shared" si="9"/>
        <v>55.000000001164153</v>
      </c>
      <c r="T203">
        <f t="shared" si="11"/>
        <v>55</v>
      </c>
    </row>
    <row r="204" spans="1:20">
      <c r="A204" t="s">
        <v>950</v>
      </c>
      <c r="B204" t="s">
        <v>18</v>
      </c>
      <c r="C204" t="s">
        <v>19</v>
      </c>
      <c r="D204" t="s">
        <v>20</v>
      </c>
      <c r="E204" t="s">
        <v>21</v>
      </c>
      <c r="F204" t="s">
        <v>43</v>
      </c>
      <c r="G204">
        <v>99.6</v>
      </c>
      <c r="H204">
        <v>3</v>
      </c>
      <c r="I204">
        <v>14.94</v>
      </c>
      <c r="J204">
        <v>313.74</v>
      </c>
      <c r="K204" s="1">
        <v>43521</v>
      </c>
      <c r="L204" s="2">
        <v>0.78125</v>
      </c>
      <c r="M204" t="s">
        <v>29</v>
      </c>
      <c r="N204">
        <v>298.8</v>
      </c>
      <c r="O204">
        <v>4.7619047620000003</v>
      </c>
      <c r="P204">
        <v>14.94</v>
      </c>
      <c r="Q204">
        <v>5.8</v>
      </c>
      <c r="R204" s="3">
        <f t="shared" si="10"/>
        <v>43521.78125</v>
      </c>
      <c r="S204">
        <f t="shared" si="9"/>
        <v>88.999999996740371</v>
      </c>
      <c r="T204">
        <f t="shared" si="11"/>
        <v>89</v>
      </c>
    </row>
    <row r="205" spans="1:20">
      <c r="A205" t="s">
        <v>511</v>
      </c>
      <c r="B205" t="s">
        <v>18</v>
      </c>
      <c r="C205" t="s">
        <v>19</v>
      </c>
      <c r="D205" t="s">
        <v>27</v>
      </c>
      <c r="E205" t="s">
        <v>177</v>
      </c>
      <c r="F205" t="s">
        <v>22</v>
      </c>
      <c r="G205">
        <v>65.180000000000007</v>
      </c>
      <c r="H205">
        <v>3</v>
      </c>
      <c r="I205">
        <v>9.7769999999999992</v>
      </c>
      <c r="J205">
        <v>205.31700000000001</v>
      </c>
      <c r="K205" s="1">
        <v>43521</v>
      </c>
      <c r="L205" s="2">
        <v>0.85763888888888884</v>
      </c>
      <c r="M205" t="s">
        <v>32</v>
      </c>
      <c r="N205">
        <v>195.54</v>
      </c>
      <c r="O205">
        <v>4.7619047620000003</v>
      </c>
      <c r="P205">
        <v>9.7769999999999992</v>
      </c>
      <c r="Q205">
        <v>6.3</v>
      </c>
      <c r="R205" s="3">
        <f t="shared" si="10"/>
        <v>43521.857638888891</v>
      </c>
      <c r="S205">
        <f t="shared" si="9"/>
        <v>110.00000000232831</v>
      </c>
      <c r="T205">
        <f t="shared" si="11"/>
        <v>110</v>
      </c>
    </row>
    <row r="206" spans="1:20" hidden="1">
      <c r="A206" t="s">
        <v>830</v>
      </c>
      <c r="B206" t="s">
        <v>18</v>
      </c>
      <c r="C206" t="s">
        <v>19</v>
      </c>
      <c r="D206" t="s">
        <v>27</v>
      </c>
      <c r="E206" t="s">
        <v>21</v>
      </c>
      <c r="F206" t="s">
        <v>28</v>
      </c>
      <c r="G206">
        <v>46.61</v>
      </c>
      <c r="H206">
        <v>2</v>
      </c>
      <c r="I206">
        <v>4.6609999999999996</v>
      </c>
      <c r="J206">
        <v>97.881</v>
      </c>
      <c r="K206" s="1">
        <v>43522</v>
      </c>
      <c r="L206" s="2">
        <v>0.51944444444444449</v>
      </c>
      <c r="M206" t="s">
        <v>32</v>
      </c>
      <c r="N206">
        <v>93.22</v>
      </c>
      <c r="O206">
        <v>4.7619047620000003</v>
      </c>
      <c r="P206">
        <v>4.6609999999999996</v>
      </c>
      <c r="Q206">
        <v>6.6</v>
      </c>
      <c r="R206" s="3">
        <f t="shared" si="10"/>
        <v>43522.519444444442</v>
      </c>
      <c r="S206" t="str">
        <f t="shared" si="9"/>
        <v/>
      </c>
      <c r="T206" t="str">
        <f t="shared" si="11"/>
        <v/>
      </c>
    </row>
    <row r="207" spans="1:20">
      <c r="A207" t="s">
        <v>695</v>
      </c>
      <c r="B207" t="s">
        <v>18</v>
      </c>
      <c r="C207" t="s">
        <v>19</v>
      </c>
      <c r="D207" t="s">
        <v>20</v>
      </c>
      <c r="E207" t="s">
        <v>177</v>
      </c>
      <c r="F207" t="s">
        <v>45</v>
      </c>
      <c r="G207">
        <v>55.45</v>
      </c>
      <c r="H207">
        <v>1</v>
      </c>
      <c r="I207">
        <v>2.7725</v>
      </c>
      <c r="J207">
        <v>58.222499999999997</v>
      </c>
      <c r="K207" s="1">
        <v>43522</v>
      </c>
      <c r="L207" s="2">
        <v>0.74027777777777781</v>
      </c>
      <c r="M207" t="s">
        <v>32</v>
      </c>
      <c r="N207">
        <v>55.45</v>
      </c>
      <c r="O207">
        <v>4.7619047620000003</v>
      </c>
      <c r="P207">
        <v>2.7725</v>
      </c>
      <c r="Q207">
        <v>4.9000000000000004</v>
      </c>
      <c r="R207" s="3">
        <f t="shared" si="10"/>
        <v>43522.740277777775</v>
      </c>
      <c r="S207">
        <f t="shared" si="9"/>
        <v>317.99999999930151</v>
      </c>
      <c r="T207">
        <f t="shared" si="11"/>
        <v>318</v>
      </c>
    </row>
    <row r="208" spans="1:20" hidden="1">
      <c r="A208" t="s">
        <v>968</v>
      </c>
      <c r="B208" t="s">
        <v>18</v>
      </c>
      <c r="C208" t="s">
        <v>19</v>
      </c>
      <c r="D208" t="s">
        <v>27</v>
      </c>
      <c r="E208" t="s">
        <v>21</v>
      </c>
      <c r="F208" t="s">
        <v>43</v>
      </c>
      <c r="G208">
        <v>74.44</v>
      </c>
      <c r="H208">
        <v>10</v>
      </c>
      <c r="I208">
        <v>37.22</v>
      </c>
      <c r="J208">
        <v>781.62</v>
      </c>
      <c r="K208" s="1">
        <v>43523</v>
      </c>
      <c r="L208" s="2">
        <v>0.4861111111111111</v>
      </c>
      <c r="M208" t="s">
        <v>23</v>
      </c>
      <c r="N208">
        <v>744.4</v>
      </c>
      <c r="O208">
        <v>4.7619047620000003</v>
      </c>
      <c r="P208">
        <v>37.22</v>
      </c>
      <c r="Q208">
        <v>5.0999999999999996</v>
      </c>
      <c r="R208" s="3">
        <f t="shared" si="10"/>
        <v>43523.486111111109</v>
      </c>
      <c r="S208" t="str">
        <f t="shared" si="9"/>
        <v/>
      </c>
      <c r="T208" t="str">
        <f t="shared" si="11"/>
        <v/>
      </c>
    </row>
    <row r="209" spans="1:20">
      <c r="A209" t="s">
        <v>719</v>
      </c>
      <c r="B209" t="s">
        <v>18</v>
      </c>
      <c r="C209" t="s">
        <v>19</v>
      </c>
      <c r="D209" t="s">
        <v>20</v>
      </c>
      <c r="E209" t="s">
        <v>177</v>
      </c>
      <c r="F209" t="s">
        <v>45</v>
      </c>
      <c r="G209">
        <v>21.48</v>
      </c>
      <c r="H209">
        <v>2</v>
      </c>
      <c r="I209">
        <v>2.1480000000000001</v>
      </c>
      <c r="J209">
        <v>45.107999999999997</v>
      </c>
      <c r="K209" s="1">
        <v>43523</v>
      </c>
      <c r="L209" s="2">
        <v>0.51527777777777772</v>
      </c>
      <c r="M209" t="s">
        <v>23</v>
      </c>
      <c r="N209">
        <v>42.96</v>
      </c>
      <c r="O209">
        <v>4.7619047620000003</v>
      </c>
      <c r="P209">
        <v>2.1480000000000001</v>
      </c>
      <c r="Q209">
        <v>6.6</v>
      </c>
      <c r="R209" s="3">
        <f t="shared" si="10"/>
        <v>43523.515277777777</v>
      </c>
      <c r="S209">
        <f t="shared" ref="S209:S272" si="12">IF(K209=K208, (R209-R208)*1440, "")</f>
        <v>42.000000000698492</v>
      </c>
      <c r="T209">
        <f t="shared" si="11"/>
        <v>42</v>
      </c>
    </row>
    <row r="210" spans="1:20">
      <c r="A210" t="s">
        <v>829</v>
      </c>
      <c r="B210" t="s">
        <v>18</v>
      </c>
      <c r="C210" t="s">
        <v>19</v>
      </c>
      <c r="D210" t="s">
        <v>20</v>
      </c>
      <c r="E210" t="s">
        <v>177</v>
      </c>
      <c r="F210" t="s">
        <v>28</v>
      </c>
      <c r="G210">
        <v>92.6</v>
      </c>
      <c r="H210">
        <v>7</v>
      </c>
      <c r="I210">
        <v>32.409999999999997</v>
      </c>
      <c r="J210">
        <v>680.61</v>
      </c>
      <c r="K210" s="1">
        <v>43523</v>
      </c>
      <c r="L210" s="2">
        <v>0.53611111111111109</v>
      </c>
      <c r="M210" t="s">
        <v>32</v>
      </c>
      <c r="N210">
        <v>648.20000000000005</v>
      </c>
      <c r="O210">
        <v>4.7619047620000003</v>
      </c>
      <c r="P210">
        <v>32.409999999999997</v>
      </c>
      <c r="Q210">
        <v>9.3000000000000007</v>
      </c>
      <c r="R210" s="3">
        <f t="shared" si="10"/>
        <v>43523.536111111112</v>
      </c>
      <c r="S210">
        <f t="shared" si="12"/>
        <v>30.00000000349246</v>
      </c>
      <c r="T210">
        <f t="shared" si="11"/>
        <v>30</v>
      </c>
    </row>
    <row r="211" spans="1:20">
      <c r="A211" t="s">
        <v>381</v>
      </c>
      <c r="B211" t="s">
        <v>18</v>
      </c>
      <c r="C211" t="s">
        <v>19</v>
      </c>
      <c r="D211" t="s">
        <v>27</v>
      </c>
      <c r="E211" t="s">
        <v>21</v>
      </c>
      <c r="F211" t="s">
        <v>45</v>
      </c>
      <c r="G211">
        <v>77.930000000000007</v>
      </c>
      <c r="H211">
        <v>9</v>
      </c>
      <c r="I211">
        <v>35.0685</v>
      </c>
      <c r="J211">
        <v>736.43849999999998</v>
      </c>
      <c r="K211" s="1">
        <v>43523</v>
      </c>
      <c r="L211" s="2">
        <v>0.67361111111111116</v>
      </c>
      <c r="M211" t="s">
        <v>23</v>
      </c>
      <c r="N211">
        <v>701.37</v>
      </c>
      <c r="O211">
        <v>4.7619047620000003</v>
      </c>
      <c r="P211">
        <v>35.0685</v>
      </c>
      <c r="Q211">
        <v>7.6</v>
      </c>
      <c r="R211" s="3">
        <f t="shared" si="10"/>
        <v>43523.673611111109</v>
      </c>
      <c r="S211">
        <f t="shared" si="12"/>
        <v>197.99999999580905</v>
      </c>
      <c r="T211">
        <f t="shared" si="11"/>
        <v>198</v>
      </c>
    </row>
    <row r="212" spans="1:20">
      <c r="A212" t="s">
        <v>794</v>
      </c>
      <c r="B212" t="s">
        <v>18</v>
      </c>
      <c r="C212" t="s">
        <v>19</v>
      </c>
      <c r="D212" t="s">
        <v>20</v>
      </c>
      <c r="E212" t="s">
        <v>177</v>
      </c>
      <c r="F212" t="s">
        <v>43</v>
      </c>
      <c r="G212">
        <v>18.850000000000001</v>
      </c>
      <c r="H212">
        <v>10</v>
      </c>
      <c r="I212">
        <v>9.4250000000000007</v>
      </c>
      <c r="J212">
        <v>197.92500000000001</v>
      </c>
      <c r="K212" s="1">
        <v>43523</v>
      </c>
      <c r="L212" s="2">
        <v>0.76666666666666672</v>
      </c>
      <c r="M212" t="s">
        <v>23</v>
      </c>
      <c r="N212">
        <v>188.5</v>
      </c>
      <c r="O212">
        <v>4.7619047620000003</v>
      </c>
      <c r="P212">
        <v>9.4250000000000007</v>
      </c>
      <c r="Q212">
        <v>5.6</v>
      </c>
      <c r="R212" s="3">
        <f t="shared" si="10"/>
        <v>43523.76666666667</v>
      </c>
      <c r="S212">
        <f t="shared" si="12"/>
        <v>134.00000000721775</v>
      </c>
      <c r="T212">
        <f t="shared" si="11"/>
        <v>134</v>
      </c>
    </row>
    <row r="213" spans="1:20" hidden="1">
      <c r="A213" t="s">
        <v>767</v>
      </c>
      <c r="B213" t="s">
        <v>18</v>
      </c>
      <c r="C213" t="s">
        <v>19</v>
      </c>
      <c r="D213" t="s">
        <v>27</v>
      </c>
      <c r="E213" t="s">
        <v>177</v>
      </c>
      <c r="F213" t="s">
        <v>22</v>
      </c>
      <c r="G213">
        <v>56</v>
      </c>
      <c r="H213">
        <v>3</v>
      </c>
      <c r="I213">
        <v>8.4</v>
      </c>
      <c r="J213">
        <v>176.4</v>
      </c>
      <c r="K213" s="1">
        <v>43524</v>
      </c>
      <c r="L213" s="2">
        <v>0.81458333333333333</v>
      </c>
      <c r="M213" t="s">
        <v>23</v>
      </c>
      <c r="N213">
        <v>168</v>
      </c>
      <c r="O213">
        <v>4.7619047620000003</v>
      </c>
      <c r="P213">
        <v>8.4</v>
      </c>
      <c r="Q213">
        <v>4.8</v>
      </c>
      <c r="R213" s="3">
        <f t="shared" si="10"/>
        <v>43524.814583333333</v>
      </c>
      <c r="S213" t="str">
        <f t="shared" si="12"/>
        <v/>
      </c>
      <c r="T213" t="str">
        <f t="shared" si="11"/>
        <v/>
      </c>
    </row>
    <row r="214" spans="1:20">
      <c r="A214" t="s">
        <v>746</v>
      </c>
      <c r="B214" t="s">
        <v>18</v>
      </c>
      <c r="C214" t="s">
        <v>19</v>
      </c>
      <c r="D214" t="s">
        <v>20</v>
      </c>
      <c r="E214" t="s">
        <v>177</v>
      </c>
      <c r="F214" t="s">
        <v>43</v>
      </c>
      <c r="G214">
        <v>80.62</v>
      </c>
      <c r="H214">
        <v>6</v>
      </c>
      <c r="I214">
        <v>24.186</v>
      </c>
      <c r="J214">
        <v>507.90600000000001</v>
      </c>
      <c r="K214" s="1">
        <v>43524</v>
      </c>
      <c r="L214" s="2">
        <v>0.84583333333333333</v>
      </c>
      <c r="M214" t="s">
        <v>29</v>
      </c>
      <c r="N214">
        <v>483.72</v>
      </c>
      <c r="O214">
        <v>4.7619047620000003</v>
      </c>
      <c r="P214">
        <v>24.186</v>
      </c>
      <c r="Q214">
        <v>9.1</v>
      </c>
      <c r="R214" s="3">
        <f t="shared" si="10"/>
        <v>43524.845833333333</v>
      </c>
      <c r="S214">
        <f t="shared" si="12"/>
        <v>45</v>
      </c>
      <c r="T214">
        <f t="shared" si="11"/>
        <v>45</v>
      </c>
    </row>
    <row r="215" spans="1:20" hidden="1">
      <c r="A215" t="s">
        <v>710</v>
      </c>
      <c r="B215" t="s">
        <v>18</v>
      </c>
      <c r="C215" t="s">
        <v>19</v>
      </c>
      <c r="D215" t="s">
        <v>27</v>
      </c>
      <c r="E215" t="s">
        <v>21</v>
      </c>
      <c r="F215" t="s">
        <v>28</v>
      </c>
      <c r="G215">
        <v>45.48</v>
      </c>
      <c r="H215">
        <v>10</v>
      </c>
      <c r="I215">
        <v>22.74</v>
      </c>
      <c r="J215">
        <v>477.54</v>
      </c>
      <c r="K215" s="1">
        <v>43525</v>
      </c>
      <c r="L215" s="2">
        <v>0.43194444444444446</v>
      </c>
      <c r="M215" t="s">
        <v>32</v>
      </c>
      <c r="N215">
        <v>454.8</v>
      </c>
      <c r="O215">
        <v>4.7619047620000003</v>
      </c>
      <c r="P215">
        <v>22.74</v>
      </c>
      <c r="Q215">
        <v>4.8</v>
      </c>
      <c r="R215" s="3">
        <f t="shared" si="10"/>
        <v>43525.431944444441</v>
      </c>
      <c r="S215" t="str">
        <f t="shared" si="12"/>
        <v/>
      </c>
      <c r="T215" t="str">
        <f t="shared" si="11"/>
        <v/>
      </c>
    </row>
    <row r="216" spans="1:20">
      <c r="A216" t="s">
        <v>766</v>
      </c>
      <c r="B216" t="s">
        <v>18</v>
      </c>
      <c r="C216" t="s">
        <v>19</v>
      </c>
      <c r="D216" t="s">
        <v>20</v>
      </c>
      <c r="E216" t="s">
        <v>21</v>
      </c>
      <c r="F216" t="s">
        <v>45</v>
      </c>
      <c r="G216">
        <v>22.32</v>
      </c>
      <c r="H216">
        <v>4</v>
      </c>
      <c r="I216">
        <v>4.4640000000000004</v>
      </c>
      <c r="J216">
        <v>93.744</v>
      </c>
      <c r="K216" s="1">
        <v>43525</v>
      </c>
      <c r="L216" s="2">
        <v>0.68263888888888891</v>
      </c>
      <c r="M216" t="s">
        <v>32</v>
      </c>
      <c r="N216">
        <v>89.28</v>
      </c>
      <c r="O216">
        <v>4.7619047620000003</v>
      </c>
      <c r="P216">
        <v>4.4640000000000004</v>
      </c>
      <c r="Q216">
        <v>4.4000000000000004</v>
      </c>
      <c r="R216" s="3">
        <f t="shared" si="10"/>
        <v>43525.682638888888</v>
      </c>
      <c r="S216">
        <f t="shared" si="12"/>
        <v>361.00000000325963</v>
      </c>
      <c r="T216">
        <f t="shared" si="11"/>
        <v>361</v>
      </c>
    </row>
    <row r="217" spans="1:20">
      <c r="A217" t="s">
        <v>554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34.729999999999997</v>
      </c>
      <c r="H217">
        <v>2</v>
      </c>
      <c r="I217">
        <v>3.4729999999999999</v>
      </c>
      <c r="J217">
        <v>72.933000000000007</v>
      </c>
      <c r="K217" s="1">
        <v>43525</v>
      </c>
      <c r="L217" s="2">
        <v>0.75972222222222219</v>
      </c>
      <c r="M217" t="s">
        <v>23</v>
      </c>
      <c r="N217">
        <v>69.459999999999994</v>
      </c>
      <c r="O217">
        <v>4.7619047620000003</v>
      </c>
      <c r="P217">
        <v>3.4729999999999999</v>
      </c>
      <c r="Q217">
        <v>9.6999999999999993</v>
      </c>
      <c r="R217" s="3">
        <f t="shared" si="10"/>
        <v>43525.759722222225</v>
      </c>
      <c r="S217">
        <f t="shared" si="12"/>
        <v>111.00000000558794</v>
      </c>
      <c r="T217">
        <f t="shared" si="11"/>
        <v>111</v>
      </c>
    </row>
    <row r="218" spans="1:20" hidden="1">
      <c r="A218" t="s">
        <v>878</v>
      </c>
      <c r="B218" t="s">
        <v>18</v>
      </c>
      <c r="C218" t="s">
        <v>19</v>
      </c>
      <c r="D218" t="s">
        <v>20</v>
      </c>
      <c r="E218" t="s">
        <v>21</v>
      </c>
      <c r="F218" t="s">
        <v>35</v>
      </c>
      <c r="G218">
        <v>39.47</v>
      </c>
      <c r="H218">
        <v>2</v>
      </c>
      <c r="I218">
        <v>3.9470000000000001</v>
      </c>
      <c r="J218">
        <v>82.887</v>
      </c>
      <c r="K218" s="1">
        <v>43526</v>
      </c>
      <c r="L218" s="2">
        <v>0.67777777777777781</v>
      </c>
      <c r="M218" t="s">
        <v>32</v>
      </c>
      <c r="N218">
        <v>78.94</v>
      </c>
      <c r="O218">
        <v>4.7619047620000003</v>
      </c>
      <c r="P218">
        <v>3.9470000000000001</v>
      </c>
      <c r="Q218">
        <v>5</v>
      </c>
      <c r="R218" s="3">
        <f t="shared" si="10"/>
        <v>43526.677777777775</v>
      </c>
      <c r="S218" t="str">
        <f t="shared" si="12"/>
        <v/>
      </c>
      <c r="T218" t="str">
        <f t="shared" si="11"/>
        <v/>
      </c>
    </row>
    <row r="219" spans="1:20">
      <c r="A219" t="s">
        <v>59</v>
      </c>
      <c r="B219" t="s">
        <v>18</v>
      </c>
      <c r="C219" t="s">
        <v>19</v>
      </c>
      <c r="D219" t="s">
        <v>20</v>
      </c>
      <c r="E219" t="s">
        <v>21</v>
      </c>
      <c r="F219" t="s">
        <v>35</v>
      </c>
      <c r="G219">
        <v>88.63</v>
      </c>
      <c r="H219">
        <v>3</v>
      </c>
      <c r="I219">
        <v>13.294499999999999</v>
      </c>
      <c r="J219">
        <v>279.18450000000001</v>
      </c>
      <c r="K219" s="1">
        <v>43526</v>
      </c>
      <c r="L219" s="2">
        <v>0.73333333333333328</v>
      </c>
      <c r="M219" t="s">
        <v>23</v>
      </c>
      <c r="N219">
        <v>265.89</v>
      </c>
      <c r="O219">
        <v>4.7619047620000003</v>
      </c>
      <c r="P219">
        <v>13.294499999999999</v>
      </c>
      <c r="Q219">
        <v>6</v>
      </c>
      <c r="R219" s="3">
        <f t="shared" si="10"/>
        <v>43526.73333333333</v>
      </c>
      <c r="S219">
        <f t="shared" si="12"/>
        <v>79.999999998835847</v>
      </c>
      <c r="T219">
        <f t="shared" si="11"/>
        <v>80</v>
      </c>
    </row>
    <row r="220" spans="1:20">
      <c r="A220" t="s">
        <v>976</v>
      </c>
      <c r="B220" t="s">
        <v>18</v>
      </c>
      <c r="C220" t="s">
        <v>19</v>
      </c>
      <c r="D220" t="s">
        <v>27</v>
      </c>
      <c r="E220" t="s">
        <v>177</v>
      </c>
      <c r="F220" t="s">
        <v>43</v>
      </c>
      <c r="G220">
        <v>66.52</v>
      </c>
      <c r="H220">
        <v>4</v>
      </c>
      <c r="I220">
        <v>13.304</v>
      </c>
      <c r="J220">
        <v>279.38400000000001</v>
      </c>
      <c r="K220" s="1">
        <v>43526</v>
      </c>
      <c r="L220" s="2">
        <v>0.75972222222222219</v>
      </c>
      <c r="M220" t="s">
        <v>23</v>
      </c>
      <c r="N220">
        <v>266.08</v>
      </c>
      <c r="O220">
        <v>4.7619047620000003</v>
      </c>
      <c r="P220">
        <v>13.304</v>
      </c>
      <c r="Q220">
        <v>6.9</v>
      </c>
      <c r="R220" s="3">
        <f t="shared" si="10"/>
        <v>43526.759722222225</v>
      </c>
      <c r="S220">
        <f t="shared" si="12"/>
        <v>38.000000008614734</v>
      </c>
      <c r="T220">
        <f t="shared" si="11"/>
        <v>38</v>
      </c>
    </row>
    <row r="221" spans="1:20" hidden="1">
      <c r="A221" t="s">
        <v>30</v>
      </c>
      <c r="B221" t="s">
        <v>18</v>
      </c>
      <c r="C221" t="s">
        <v>19</v>
      </c>
      <c r="D221" t="s">
        <v>27</v>
      </c>
      <c r="E221" t="s">
        <v>21</v>
      </c>
      <c r="F221" t="s">
        <v>31</v>
      </c>
      <c r="G221">
        <v>46.33</v>
      </c>
      <c r="H221">
        <v>7</v>
      </c>
      <c r="I221">
        <v>16.215499999999999</v>
      </c>
      <c r="J221">
        <v>340.52550000000002</v>
      </c>
      <c r="K221" s="1">
        <v>43527</v>
      </c>
      <c r="L221" s="2">
        <v>0.55763888888888891</v>
      </c>
      <c r="M221" t="s">
        <v>32</v>
      </c>
      <c r="N221">
        <v>324.31</v>
      </c>
      <c r="O221">
        <v>4.7619047620000003</v>
      </c>
      <c r="P221">
        <v>16.215499999999999</v>
      </c>
      <c r="Q221">
        <v>7.4</v>
      </c>
      <c r="R221" s="3">
        <f t="shared" si="10"/>
        <v>43527.557638888888</v>
      </c>
      <c r="S221" t="str">
        <f t="shared" si="12"/>
        <v/>
      </c>
      <c r="T221" t="str">
        <f t="shared" si="11"/>
        <v/>
      </c>
    </row>
    <row r="222" spans="1:20">
      <c r="A222" t="s">
        <v>489</v>
      </c>
      <c r="B222" t="s">
        <v>18</v>
      </c>
      <c r="C222" t="s">
        <v>19</v>
      </c>
      <c r="D222" t="s">
        <v>27</v>
      </c>
      <c r="E222" t="s">
        <v>177</v>
      </c>
      <c r="F222" t="s">
        <v>22</v>
      </c>
      <c r="G222">
        <v>25</v>
      </c>
      <c r="H222">
        <v>1</v>
      </c>
      <c r="I222">
        <v>1.25</v>
      </c>
      <c r="J222">
        <v>26.25</v>
      </c>
      <c r="K222" s="1">
        <v>43527</v>
      </c>
      <c r="L222" s="2">
        <v>0.63124999999999998</v>
      </c>
      <c r="M222" t="s">
        <v>23</v>
      </c>
      <c r="N222">
        <v>25</v>
      </c>
      <c r="O222">
        <v>4.7619047620000003</v>
      </c>
      <c r="P222">
        <v>1.25</v>
      </c>
      <c r="Q222">
        <v>5.5</v>
      </c>
      <c r="R222" s="3">
        <f t="shared" si="10"/>
        <v>43527.631249999999</v>
      </c>
      <c r="S222">
        <f t="shared" si="12"/>
        <v>105.99999999976717</v>
      </c>
      <c r="T222">
        <f t="shared" si="11"/>
        <v>106</v>
      </c>
    </row>
    <row r="223" spans="1:20">
      <c r="A223" t="s">
        <v>212</v>
      </c>
      <c r="B223" t="s">
        <v>18</v>
      </c>
      <c r="C223" t="s">
        <v>19</v>
      </c>
      <c r="D223" t="s">
        <v>20</v>
      </c>
      <c r="E223" t="s">
        <v>177</v>
      </c>
      <c r="F223" t="s">
        <v>43</v>
      </c>
      <c r="G223">
        <v>22.17</v>
      </c>
      <c r="H223">
        <v>8</v>
      </c>
      <c r="I223">
        <v>8.8680000000000003</v>
      </c>
      <c r="J223">
        <v>186.22800000000001</v>
      </c>
      <c r="K223" s="1">
        <v>43527</v>
      </c>
      <c r="L223" s="2">
        <v>0.70902777777777781</v>
      </c>
      <c r="M223" t="s">
        <v>32</v>
      </c>
      <c r="N223">
        <v>177.36</v>
      </c>
      <c r="O223">
        <v>4.7619047620000003</v>
      </c>
      <c r="P223">
        <v>8.8680000000000003</v>
      </c>
      <c r="Q223">
        <v>9.6</v>
      </c>
      <c r="R223" s="3">
        <f t="shared" si="10"/>
        <v>43527.709027777775</v>
      </c>
      <c r="S223">
        <f t="shared" si="12"/>
        <v>111.99999999837019</v>
      </c>
      <c r="T223">
        <f t="shared" si="11"/>
        <v>112</v>
      </c>
    </row>
    <row r="224" spans="1:20">
      <c r="A224" t="s">
        <v>826</v>
      </c>
      <c r="B224" t="s">
        <v>18</v>
      </c>
      <c r="C224" t="s">
        <v>19</v>
      </c>
      <c r="D224" t="s">
        <v>27</v>
      </c>
      <c r="E224" t="s">
        <v>177</v>
      </c>
      <c r="F224" t="s">
        <v>45</v>
      </c>
      <c r="G224">
        <v>46.41</v>
      </c>
      <c r="H224">
        <v>1</v>
      </c>
      <c r="I224">
        <v>2.3205</v>
      </c>
      <c r="J224">
        <v>48.730499999999999</v>
      </c>
      <c r="K224" s="1">
        <v>43527</v>
      </c>
      <c r="L224" s="2">
        <v>0.83750000000000002</v>
      </c>
      <c r="M224" t="s">
        <v>32</v>
      </c>
      <c r="N224">
        <v>46.41</v>
      </c>
      <c r="O224">
        <v>4.7619047620000003</v>
      </c>
      <c r="P224">
        <v>2.3205</v>
      </c>
      <c r="Q224">
        <v>4</v>
      </c>
      <c r="R224" s="3">
        <f t="shared" si="10"/>
        <v>43527.837500000001</v>
      </c>
      <c r="S224">
        <f t="shared" si="12"/>
        <v>185.00000000582077</v>
      </c>
      <c r="T224">
        <f t="shared" si="11"/>
        <v>185</v>
      </c>
    </row>
    <row r="225" spans="1:20">
      <c r="A225" t="s">
        <v>672</v>
      </c>
      <c r="B225" t="s">
        <v>18</v>
      </c>
      <c r="C225" t="s">
        <v>19</v>
      </c>
      <c r="D225" t="s">
        <v>27</v>
      </c>
      <c r="E225" t="s">
        <v>177</v>
      </c>
      <c r="F225" t="s">
        <v>22</v>
      </c>
      <c r="G225">
        <v>28.95</v>
      </c>
      <c r="H225">
        <v>7</v>
      </c>
      <c r="I225">
        <v>10.1325</v>
      </c>
      <c r="J225">
        <v>212.7825</v>
      </c>
      <c r="K225" s="1">
        <v>43527</v>
      </c>
      <c r="L225" s="2">
        <v>0.85486111111111107</v>
      </c>
      <c r="M225" t="s">
        <v>32</v>
      </c>
      <c r="N225">
        <v>202.65</v>
      </c>
      <c r="O225">
        <v>4.7619047620000003</v>
      </c>
      <c r="P225">
        <v>10.1325</v>
      </c>
      <c r="Q225">
        <v>6</v>
      </c>
      <c r="R225" s="3">
        <f t="shared" si="10"/>
        <v>43527.854861111111</v>
      </c>
      <c r="S225">
        <f t="shared" si="12"/>
        <v>24.999999997671694</v>
      </c>
      <c r="T225">
        <f t="shared" si="11"/>
        <v>25</v>
      </c>
    </row>
    <row r="226" spans="1:20" hidden="1">
      <c r="A226" t="s">
        <v>859</v>
      </c>
      <c r="B226" t="s">
        <v>18</v>
      </c>
      <c r="C226" t="s">
        <v>19</v>
      </c>
      <c r="D226" t="s">
        <v>27</v>
      </c>
      <c r="E226" t="s">
        <v>21</v>
      </c>
      <c r="F226" t="s">
        <v>22</v>
      </c>
      <c r="G226">
        <v>68.709999999999994</v>
      </c>
      <c r="H226">
        <v>3</v>
      </c>
      <c r="I226">
        <v>10.3065</v>
      </c>
      <c r="J226">
        <v>216.4365</v>
      </c>
      <c r="K226" s="1">
        <v>43528</v>
      </c>
      <c r="L226" s="2">
        <v>0.4201388888888889</v>
      </c>
      <c r="M226" t="s">
        <v>29</v>
      </c>
      <c r="N226">
        <v>206.13</v>
      </c>
      <c r="O226">
        <v>4.7619047620000003</v>
      </c>
      <c r="P226">
        <v>10.3065</v>
      </c>
      <c r="Q226">
        <v>8.6999999999999993</v>
      </c>
      <c r="R226" s="3">
        <f t="shared" si="10"/>
        <v>43528.420138888891</v>
      </c>
      <c r="S226" t="str">
        <f t="shared" si="12"/>
        <v/>
      </c>
      <c r="T226" t="str">
        <f t="shared" si="11"/>
        <v/>
      </c>
    </row>
    <row r="227" spans="1:20">
      <c r="A227" t="s">
        <v>1012</v>
      </c>
      <c r="B227" t="s">
        <v>18</v>
      </c>
      <c r="C227" t="s">
        <v>19</v>
      </c>
      <c r="D227" t="s">
        <v>27</v>
      </c>
      <c r="E227" t="s">
        <v>21</v>
      </c>
      <c r="F227" t="s">
        <v>43</v>
      </c>
      <c r="G227">
        <v>74.66</v>
      </c>
      <c r="H227">
        <v>4</v>
      </c>
      <c r="I227">
        <v>14.932</v>
      </c>
      <c r="J227">
        <v>313.572</v>
      </c>
      <c r="K227" s="1">
        <v>43528</v>
      </c>
      <c r="L227" s="2">
        <v>0.44374999999999998</v>
      </c>
      <c r="M227" t="s">
        <v>29</v>
      </c>
      <c r="N227">
        <v>298.64</v>
      </c>
      <c r="O227">
        <v>4.7619047620000003</v>
      </c>
      <c r="P227">
        <v>14.932</v>
      </c>
      <c r="Q227">
        <v>8.5</v>
      </c>
      <c r="R227" s="3">
        <f t="shared" si="10"/>
        <v>43528.443749999999</v>
      </c>
      <c r="S227">
        <f t="shared" si="12"/>
        <v>33.999999995576218</v>
      </c>
      <c r="T227">
        <f t="shared" si="11"/>
        <v>34</v>
      </c>
    </row>
    <row r="228" spans="1:20">
      <c r="A228" t="s">
        <v>220</v>
      </c>
      <c r="B228" t="s">
        <v>18</v>
      </c>
      <c r="C228" t="s">
        <v>19</v>
      </c>
      <c r="D228" t="s">
        <v>27</v>
      </c>
      <c r="E228" t="s">
        <v>21</v>
      </c>
      <c r="F228" t="s">
        <v>35</v>
      </c>
      <c r="G228">
        <v>12.34</v>
      </c>
      <c r="H228">
        <v>7</v>
      </c>
      <c r="I228">
        <v>4.319</v>
      </c>
      <c r="J228">
        <v>90.698999999999998</v>
      </c>
      <c r="K228" s="1">
        <v>43528</v>
      </c>
      <c r="L228" s="2">
        <v>0.47152777777777777</v>
      </c>
      <c r="M228" t="s">
        <v>32</v>
      </c>
      <c r="N228">
        <v>86.38</v>
      </c>
      <c r="O228">
        <v>4.7619047620000003</v>
      </c>
      <c r="P228">
        <v>4.319</v>
      </c>
      <c r="Q228">
        <v>6.7</v>
      </c>
      <c r="R228" s="3">
        <f t="shared" si="10"/>
        <v>43528.47152777778</v>
      </c>
      <c r="S228">
        <f t="shared" si="12"/>
        <v>40.000000004656613</v>
      </c>
      <c r="T228">
        <f t="shared" si="11"/>
        <v>40</v>
      </c>
    </row>
    <row r="229" spans="1:20">
      <c r="A229" t="s">
        <v>839</v>
      </c>
      <c r="B229" t="s">
        <v>18</v>
      </c>
      <c r="C229" t="s">
        <v>19</v>
      </c>
      <c r="D229" t="s">
        <v>20</v>
      </c>
      <c r="E229" t="s">
        <v>21</v>
      </c>
      <c r="F229" t="s">
        <v>45</v>
      </c>
      <c r="G229">
        <v>48.96</v>
      </c>
      <c r="H229">
        <v>9</v>
      </c>
      <c r="I229">
        <v>22.032</v>
      </c>
      <c r="J229">
        <v>462.67200000000003</v>
      </c>
      <c r="K229" s="1">
        <v>43528</v>
      </c>
      <c r="L229" s="2">
        <v>0.47708333333333336</v>
      </c>
      <c r="M229" t="s">
        <v>29</v>
      </c>
      <c r="N229">
        <v>440.64</v>
      </c>
      <c r="O229">
        <v>4.7619047620000003</v>
      </c>
      <c r="P229">
        <v>22.032</v>
      </c>
      <c r="Q229">
        <v>8</v>
      </c>
      <c r="R229" s="3">
        <f t="shared" si="10"/>
        <v>43528.477083333331</v>
      </c>
      <c r="S229">
        <f t="shared" si="12"/>
        <v>7.9999999946448952</v>
      </c>
      <c r="T229">
        <f t="shared" si="11"/>
        <v>8</v>
      </c>
    </row>
    <row r="230" spans="1:20">
      <c r="A230" t="s">
        <v>625</v>
      </c>
      <c r="B230" t="s">
        <v>18</v>
      </c>
      <c r="C230" t="s">
        <v>19</v>
      </c>
      <c r="D230" t="s">
        <v>27</v>
      </c>
      <c r="E230" t="s">
        <v>177</v>
      </c>
      <c r="F230" t="s">
        <v>22</v>
      </c>
      <c r="G230">
        <v>14.62</v>
      </c>
      <c r="H230">
        <v>5</v>
      </c>
      <c r="I230">
        <v>3.6549999999999998</v>
      </c>
      <c r="J230">
        <v>76.754999999999995</v>
      </c>
      <c r="K230" s="1">
        <v>43528</v>
      </c>
      <c r="L230" s="2">
        <v>0.51597222222222228</v>
      </c>
      <c r="M230" t="s">
        <v>29</v>
      </c>
      <c r="N230">
        <v>73.099999999999994</v>
      </c>
      <c r="O230">
        <v>4.7619047620000003</v>
      </c>
      <c r="P230">
        <v>3.6549999999999998</v>
      </c>
      <c r="Q230">
        <v>4.4000000000000004</v>
      </c>
      <c r="R230" s="3">
        <f t="shared" si="10"/>
        <v>43528.515972222223</v>
      </c>
      <c r="S230">
        <f t="shared" si="12"/>
        <v>56.000000004423782</v>
      </c>
      <c r="T230">
        <f t="shared" si="11"/>
        <v>56</v>
      </c>
    </row>
    <row r="231" spans="1:20">
      <c r="A231" t="s">
        <v>728</v>
      </c>
      <c r="B231" t="s">
        <v>18</v>
      </c>
      <c r="C231" t="s">
        <v>19</v>
      </c>
      <c r="D231" t="s">
        <v>20</v>
      </c>
      <c r="E231" t="s">
        <v>177</v>
      </c>
      <c r="F231" t="s">
        <v>22</v>
      </c>
      <c r="G231">
        <v>48.63</v>
      </c>
      <c r="H231">
        <v>10</v>
      </c>
      <c r="I231">
        <v>24.315000000000001</v>
      </c>
      <c r="J231">
        <v>510.61500000000001</v>
      </c>
      <c r="K231" s="1">
        <v>43528</v>
      </c>
      <c r="L231" s="2">
        <v>0.53055555555555556</v>
      </c>
      <c r="M231" t="s">
        <v>29</v>
      </c>
      <c r="N231">
        <v>486.3</v>
      </c>
      <c r="O231">
        <v>4.7619047620000003</v>
      </c>
      <c r="P231">
        <v>24.315000000000001</v>
      </c>
      <c r="Q231">
        <v>8.8000000000000007</v>
      </c>
      <c r="R231" s="3">
        <f t="shared" si="10"/>
        <v>43528.530555555553</v>
      </c>
      <c r="S231">
        <f t="shared" si="12"/>
        <v>20.999999995110556</v>
      </c>
      <c r="T231">
        <f t="shared" si="11"/>
        <v>21</v>
      </c>
    </row>
    <row r="232" spans="1:20">
      <c r="A232" t="s">
        <v>319</v>
      </c>
      <c r="B232" t="s">
        <v>18</v>
      </c>
      <c r="C232" t="s">
        <v>19</v>
      </c>
      <c r="D232" t="s">
        <v>20</v>
      </c>
      <c r="E232" t="s">
        <v>177</v>
      </c>
      <c r="F232" t="s">
        <v>22</v>
      </c>
      <c r="G232">
        <v>99.83</v>
      </c>
      <c r="H232">
        <v>6</v>
      </c>
      <c r="I232">
        <v>29.949000000000002</v>
      </c>
      <c r="J232">
        <v>628.92899999999997</v>
      </c>
      <c r="K232" s="1">
        <v>43528</v>
      </c>
      <c r="L232" s="2">
        <v>0.62638888888888888</v>
      </c>
      <c r="M232" t="s">
        <v>23</v>
      </c>
      <c r="N232">
        <v>598.98</v>
      </c>
      <c r="O232">
        <v>4.7619047620000003</v>
      </c>
      <c r="P232">
        <v>29.949000000000002</v>
      </c>
      <c r="Q232">
        <v>8.5</v>
      </c>
      <c r="R232" s="3">
        <f t="shared" si="10"/>
        <v>43528.626388888886</v>
      </c>
      <c r="S232">
        <f t="shared" si="12"/>
        <v>137.99999999930151</v>
      </c>
      <c r="T232">
        <f t="shared" si="11"/>
        <v>138</v>
      </c>
    </row>
    <row r="233" spans="1:20">
      <c r="A233" t="s">
        <v>1002</v>
      </c>
      <c r="B233" t="s">
        <v>18</v>
      </c>
      <c r="C233" t="s">
        <v>19</v>
      </c>
      <c r="D233" t="s">
        <v>27</v>
      </c>
      <c r="E233" t="s">
        <v>21</v>
      </c>
      <c r="F233" t="s">
        <v>31</v>
      </c>
      <c r="G233">
        <v>33.299999999999997</v>
      </c>
      <c r="H233">
        <v>9</v>
      </c>
      <c r="I233">
        <v>14.984999999999999</v>
      </c>
      <c r="J233">
        <v>314.685</v>
      </c>
      <c r="K233" s="1">
        <v>43528</v>
      </c>
      <c r="L233" s="2">
        <v>0.64375000000000004</v>
      </c>
      <c r="M233" t="s">
        <v>23</v>
      </c>
      <c r="N233">
        <v>299.7</v>
      </c>
      <c r="O233">
        <v>4.7619047620000003</v>
      </c>
      <c r="P233">
        <v>14.984999999999999</v>
      </c>
      <c r="Q233">
        <v>7.2</v>
      </c>
      <c r="R233" s="3">
        <f t="shared" si="10"/>
        <v>43528.643750000003</v>
      </c>
      <c r="S233">
        <f t="shared" si="12"/>
        <v>25.000000008149073</v>
      </c>
      <c r="T233">
        <f t="shared" si="11"/>
        <v>25</v>
      </c>
    </row>
    <row r="234" spans="1:20">
      <c r="A234" t="s">
        <v>444</v>
      </c>
      <c r="B234" t="s">
        <v>18</v>
      </c>
      <c r="C234" t="s">
        <v>19</v>
      </c>
      <c r="D234" t="s">
        <v>27</v>
      </c>
      <c r="E234" t="s">
        <v>21</v>
      </c>
      <c r="F234" t="s">
        <v>31</v>
      </c>
      <c r="G234">
        <v>56.53</v>
      </c>
      <c r="H234">
        <v>4</v>
      </c>
      <c r="I234">
        <v>11.305999999999999</v>
      </c>
      <c r="J234">
        <v>237.42599999999999</v>
      </c>
      <c r="K234" s="1">
        <v>43528</v>
      </c>
      <c r="L234" s="2">
        <v>0.82499999999999996</v>
      </c>
      <c r="M234" t="s">
        <v>23</v>
      </c>
      <c r="N234">
        <v>226.12</v>
      </c>
      <c r="O234">
        <v>4.7619047620000003</v>
      </c>
      <c r="P234">
        <v>11.305999999999999</v>
      </c>
      <c r="Q234">
        <v>5.5</v>
      </c>
      <c r="R234" s="3">
        <f t="shared" si="10"/>
        <v>43528.824999999997</v>
      </c>
      <c r="S234">
        <f t="shared" si="12"/>
        <v>260.9999999916181</v>
      </c>
      <c r="T234">
        <f t="shared" si="11"/>
        <v>261</v>
      </c>
    </row>
    <row r="235" spans="1:20" hidden="1">
      <c r="A235" t="s">
        <v>667</v>
      </c>
      <c r="B235" t="s">
        <v>18</v>
      </c>
      <c r="C235" t="s">
        <v>19</v>
      </c>
      <c r="D235" t="s">
        <v>27</v>
      </c>
      <c r="E235" t="s">
        <v>177</v>
      </c>
      <c r="F235" t="s">
        <v>28</v>
      </c>
      <c r="G235">
        <v>78.31</v>
      </c>
      <c r="H235">
        <v>3</v>
      </c>
      <c r="I235">
        <v>11.746499999999999</v>
      </c>
      <c r="J235">
        <v>246.6765</v>
      </c>
      <c r="K235" s="1">
        <v>43529</v>
      </c>
      <c r="L235" s="2">
        <v>0.69305555555555554</v>
      </c>
      <c r="M235" t="s">
        <v>23</v>
      </c>
      <c r="N235">
        <v>234.93</v>
      </c>
      <c r="O235">
        <v>4.7619047620000003</v>
      </c>
      <c r="P235">
        <v>11.746499999999999</v>
      </c>
      <c r="Q235">
        <v>5.4</v>
      </c>
      <c r="R235" s="3">
        <f t="shared" si="10"/>
        <v>43529.693055555559</v>
      </c>
      <c r="S235" t="str">
        <f t="shared" si="12"/>
        <v/>
      </c>
      <c r="T235" t="str">
        <f t="shared" si="11"/>
        <v/>
      </c>
    </row>
    <row r="236" spans="1:20">
      <c r="A236" t="s">
        <v>345</v>
      </c>
      <c r="B236" t="s">
        <v>18</v>
      </c>
      <c r="C236" t="s">
        <v>19</v>
      </c>
      <c r="D236" t="s">
        <v>27</v>
      </c>
      <c r="E236" t="s">
        <v>21</v>
      </c>
      <c r="F236" t="s">
        <v>45</v>
      </c>
      <c r="G236">
        <v>81.91</v>
      </c>
      <c r="H236">
        <v>2</v>
      </c>
      <c r="I236">
        <v>8.1910000000000007</v>
      </c>
      <c r="J236">
        <v>172.011</v>
      </c>
      <c r="K236" s="1">
        <v>43529</v>
      </c>
      <c r="L236" s="2">
        <v>0.73819444444444449</v>
      </c>
      <c r="M236" t="s">
        <v>29</v>
      </c>
      <c r="N236">
        <v>163.82</v>
      </c>
      <c r="O236">
        <v>4.7619047620000003</v>
      </c>
      <c r="P236">
        <v>8.1910000000000007</v>
      </c>
      <c r="Q236">
        <v>7.8</v>
      </c>
      <c r="R236" s="3">
        <f t="shared" si="10"/>
        <v>43529.738194444442</v>
      </c>
      <c r="S236">
        <f t="shared" si="12"/>
        <v>64.999999991850927</v>
      </c>
      <c r="T236">
        <f t="shared" si="11"/>
        <v>65</v>
      </c>
    </row>
    <row r="237" spans="1:20" hidden="1">
      <c r="A237" t="s">
        <v>430</v>
      </c>
      <c r="B237" t="s">
        <v>18</v>
      </c>
      <c r="C237" t="s">
        <v>19</v>
      </c>
      <c r="D237" t="s">
        <v>27</v>
      </c>
      <c r="E237" t="s">
        <v>21</v>
      </c>
      <c r="F237" t="s">
        <v>22</v>
      </c>
      <c r="G237">
        <v>79.739999999999995</v>
      </c>
      <c r="H237">
        <v>1</v>
      </c>
      <c r="I237">
        <v>3.9870000000000001</v>
      </c>
      <c r="J237">
        <v>83.727000000000004</v>
      </c>
      <c r="K237" s="1">
        <v>43530</v>
      </c>
      <c r="L237" s="2">
        <v>0.44166666666666665</v>
      </c>
      <c r="M237" t="s">
        <v>23</v>
      </c>
      <c r="N237">
        <v>79.739999999999995</v>
      </c>
      <c r="O237">
        <v>4.7619047620000003</v>
      </c>
      <c r="P237">
        <v>3.9870000000000001</v>
      </c>
      <c r="Q237">
        <v>7.3</v>
      </c>
      <c r="R237" s="3">
        <f t="shared" si="10"/>
        <v>43530.441666666666</v>
      </c>
      <c r="S237" t="str">
        <f t="shared" si="12"/>
        <v/>
      </c>
      <c r="T237" t="str">
        <f t="shared" si="11"/>
        <v/>
      </c>
    </row>
    <row r="238" spans="1:20">
      <c r="A238" t="s">
        <v>98</v>
      </c>
      <c r="B238" t="s">
        <v>18</v>
      </c>
      <c r="C238" t="s">
        <v>19</v>
      </c>
      <c r="D238" t="s">
        <v>20</v>
      </c>
      <c r="E238" t="s">
        <v>21</v>
      </c>
      <c r="F238" t="s">
        <v>35</v>
      </c>
      <c r="G238">
        <v>15.81</v>
      </c>
      <c r="H238">
        <v>10</v>
      </c>
      <c r="I238">
        <v>7.9050000000000002</v>
      </c>
      <c r="J238">
        <v>166.005</v>
      </c>
      <c r="K238" s="1">
        <v>43530</v>
      </c>
      <c r="L238" s="2">
        <v>0.51875000000000004</v>
      </c>
      <c r="M238" t="s">
        <v>32</v>
      </c>
      <c r="N238">
        <v>158.1</v>
      </c>
      <c r="O238">
        <v>4.7619047620000003</v>
      </c>
      <c r="P238">
        <v>7.9050000000000002</v>
      </c>
      <c r="Q238">
        <v>8.6</v>
      </c>
      <c r="R238" s="3">
        <f t="shared" si="10"/>
        <v>43530.518750000003</v>
      </c>
      <c r="S238">
        <f t="shared" si="12"/>
        <v>111.00000000558794</v>
      </c>
      <c r="T238">
        <f t="shared" si="11"/>
        <v>111</v>
      </c>
    </row>
    <row r="239" spans="1:20">
      <c r="A239" t="s">
        <v>405</v>
      </c>
      <c r="B239" t="s">
        <v>18</v>
      </c>
      <c r="C239" t="s">
        <v>19</v>
      </c>
      <c r="D239" t="s">
        <v>20</v>
      </c>
      <c r="E239" t="s">
        <v>177</v>
      </c>
      <c r="F239" t="s">
        <v>28</v>
      </c>
      <c r="G239">
        <v>21.5</v>
      </c>
      <c r="H239">
        <v>9</v>
      </c>
      <c r="I239">
        <v>9.6750000000000007</v>
      </c>
      <c r="J239">
        <v>203.17500000000001</v>
      </c>
      <c r="K239" s="1">
        <v>43530</v>
      </c>
      <c r="L239" s="2">
        <v>0.53194444444444444</v>
      </c>
      <c r="M239" t="s">
        <v>32</v>
      </c>
      <c r="N239">
        <v>193.5</v>
      </c>
      <c r="O239">
        <v>4.7619047620000003</v>
      </c>
      <c r="P239">
        <v>9.6750000000000007</v>
      </c>
      <c r="Q239">
        <v>7.8</v>
      </c>
      <c r="R239" s="3">
        <f t="shared" si="10"/>
        <v>43530.531944444447</v>
      </c>
      <c r="S239">
        <f t="shared" si="12"/>
        <v>18.999999999068677</v>
      </c>
      <c r="T239">
        <f t="shared" si="11"/>
        <v>19</v>
      </c>
    </row>
    <row r="240" spans="1:20">
      <c r="A240" t="s">
        <v>166</v>
      </c>
      <c r="B240" t="s">
        <v>18</v>
      </c>
      <c r="C240" t="s">
        <v>19</v>
      </c>
      <c r="D240" t="s">
        <v>20</v>
      </c>
      <c r="E240" t="s">
        <v>21</v>
      </c>
      <c r="F240" t="s">
        <v>35</v>
      </c>
      <c r="G240">
        <v>92.13</v>
      </c>
      <c r="H240">
        <v>6</v>
      </c>
      <c r="I240">
        <v>27.638999999999999</v>
      </c>
      <c r="J240">
        <v>580.41899999999998</v>
      </c>
      <c r="K240" s="1">
        <v>43530</v>
      </c>
      <c r="L240" s="2">
        <v>0.8569444444444444</v>
      </c>
      <c r="M240" t="s">
        <v>29</v>
      </c>
      <c r="N240">
        <v>552.78</v>
      </c>
      <c r="O240">
        <v>4.7619047620000003</v>
      </c>
      <c r="P240">
        <v>27.638999999999999</v>
      </c>
      <c r="Q240">
        <v>8.3000000000000007</v>
      </c>
      <c r="R240" s="3">
        <f t="shared" si="10"/>
        <v>43530.856944444444</v>
      </c>
      <c r="S240">
        <f t="shared" si="12"/>
        <v>467.99999999580905</v>
      </c>
      <c r="T240">
        <f t="shared" si="11"/>
        <v>468</v>
      </c>
    </row>
    <row r="241" spans="1:20" hidden="1">
      <c r="A241" t="s">
        <v>573</v>
      </c>
      <c r="B241" t="s">
        <v>18</v>
      </c>
      <c r="C241" t="s">
        <v>19</v>
      </c>
      <c r="D241" t="s">
        <v>27</v>
      </c>
      <c r="E241" t="s">
        <v>177</v>
      </c>
      <c r="F241" t="s">
        <v>31</v>
      </c>
      <c r="G241">
        <v>97.94</v>
      </c>
      <c r="H241">
        <v>1</v>
      </c>
      <c r="I241">
        <v>4.8970000000000002</v>
      </c>
      <c r="J241">
        <v>102.837</v>
      </c>
      <c r="K241" s="1">
        <v>43531</v>
      </c>
      <c r="L241" s="2">
        <v>0.48888888888888887</v>
      </c>
      <c r="M241" t="s">
        <v>23</v>
      </c>
      <c r="N241">
        <v>97.94</v>
      </c>
      <c r="O241">
        <v>4.7619047620000003</v>
      </c>
      <c r="P241">
        <v>4.8970000000000002</v>
      </c>
      <c r="Q241">
        <v>6.9</v>
      </c>
      <c r="R241" s="3">
        <f t="shared" si="10"/>
        <v>43531.488888888889</v>
      </c>
      <c r="S241" t="str">
        <f t="shared" si="12"/>
        <v/>
      </c>
      <c r="T241" t="str">
        <f t="shared" si="11"/>
        <v/>
      </c>
    </row>
    <row r="242" spans="1:20">
      <c r="A242" t="s">
        <v>349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15.55</v>
      </c>
      <c r="H242">
        <v>9</v>
      </c>
      <c r="I242">
        <v>6.9974999999999996</v>
      </c>
      <c r="J242">
        <v>146.94749999999999</v>
      </c>
      <c r="K242" s="1">
        <v>43531</v>
      </c>
      <c r="L242" s="2">
        <v>0.55000000000000004</v>
      </c>
      <c r="M242" t="s">
        <v>29</v>
      </c>
      <c r="N242">
        <v>139.94999999999999</v>
      </c>
      <c r="O242">
        <v>4.7619047620000003</v>
      </c>
      <c r="P242">
        <v>6.9974999999999996</v>
      </c>
      <c r="Q242">
        <v>5</v>
      </c>
      <c r="R242" s="3">
        <f t="shared" si="10"/>
        <v>43531.55</v>
      </c>
      <c r="S242">
        <f t="shared" si="12"/>
        <v>88.000000003958121</v>
      </c>
      <c r="T242">
        <f t="shared" si="11"/>
        <v>88</v>
      </c>
    </row>
    <row r="243" spans="1:20">
      <c r="A243" t="s">
        <v>893</v>
      </c>
      <c r="B243" t="s">
        <v>18</v>
      </c>
      <c r="C243" t="s">
        <v>19</v>
      </c>
      <c r="D243" t="s">
        <v>20</v>
      </c>
      <c r="E243" t="s">
        <v>21</v>
      </c>
      <c r="F243" t="s">
        <v>31</v>
      </c>
      <c r="G243">
        <v>28.31</v>
      </c>
      <c r="H243">
        <v>4</v>
      </c>
      <c r="I243">
        <v>5.6619999999999999</v>
      </c>
      <c r="J243">
        <v>118.902</v>
      </c>
      <c r="K243" s="1">
        <v>43531</v>
      </c>
      <c r="L243" s="2">
        <v>0.77430555555555558</v>
      </c>
      <c r="M243" t="s">
        <v>29</v>
      </c>
      <c r="N243">
        <v>113.24</v>
      </c>
      <c r="O243">
        <v>4.7619047620000003</v>
      </c>
      <c r="P243">
        <v>5.6619999999999999</v>
      </c>
      <c r="Q243">
        <v>8.1999999999999993</v>
      </c>
      <c r="R243" s="3">
        <f t="shared" si="10"/>
        <v>43531.774305555555</v>
      </c>
      <c r="S243">
        <f t="shared" si="12"/>
        <v>322.9999999946449</v>
      </c>
      <c r="T243">
        <f t="shared" si="11"/>
        <v>323</v>
      </c>
    </row>
    <row r="244" spans="1:20" hidden="1">
      <c r="A244" t="s">
        <v>465</v>
      </c>
      <c r="B244" t="s">
        <v>18</v>
      </c>
      <c r="C244" t="s">
        <v>19</v>
      </c>
      <c r="D244" t="s">
        <v>20</v>
      </c>
      <c r="E244" t="s">
        <v>21</v>
      </c>
      <c r="F244" t="s">
        <v>31</v>
      </c>
      <c r="G244">
        <v>90.65</v>
      </c>
      <c r="H244">
        <v>10</v>
      </c>
      <c r="I244">
        <v>45.325000000000003</v>
      </c>
      <c r="J244">
        <v>951.82500000000005</v>
      </c>
      <c r="K244" s="1">
        <v>43532</v>
      </c>
      <c r="L244" s="2">
        <v>0.45347222222222222</v>
      </c>
      <c r="M244" t="s">
        <v>23</v>
      </c>
      <c r="N244">
        <v>906.5</v>
      </c>
      <c r="O244">
        <v>4.7619047620000003</v>
      </c>
      <c r="P244">
        <v>45.325000000000003</v>
      </c>
      <c r="Q244">
        <v>7.3</v>
      </c>
      <c r="R244" s="3">
        <f t="shared" si="10"/>
        <v>43532.453472222223</v>
      </c>
      <c r="S244" t="str">
        <f t="shared" si="12"/>
        <v/>
      </c>
      <c r="T244" t="str">
        <f t="shared" si="11"/>
        <v/>
      </c>
    </row>
    <row r="245" spans="1:20">
      <c r="A245" t="s">
        <v>359</v>
      </c>
      <c r="B245" t="s">
        <v>18</v>
      </c>
      <c r="C245" t="s">
        <v>19</v>
      </c>
      <c r="D245" t="s">
        <v>27</v>
      </c>
      <c r="E245" t="s">
        <v>21</v>
      </c>
      <c r="F245" t="s">
        <v>45</v>
      </c>
      <c r="G245">
        <v>61.77</v>
      </c>
      <c r="H245">
        <v>5</v>
      </c>
      <c r="I245">
        <v>15.442500000000001</v>
      </c>
      <c r="J245">
        <v>324.29250000000002</v>
      </c>
      <c r="K245" s="1">
        <v>43532</v>
      </c>
      <c r="L245" s="2">
        <v>0.55625000000000002</v>
      </c>
      <c r="M245" t="s">
        <v>29</v>
      </c>
      <c r="N245">
        <v>308.85000000000002</v>
      </c>
      <c r="O245">
        <v>4.7619047620000003</v>
      </c>
      <c r="P245">
        <v>15.442500000000001</v>
      </c>
      <c r="Q245">
        <v>6.7</v>
      </c>
      <c r="R245" s="3">
        <f t="shared" si="10"/>
        <v>43532.556250000001</v>
      </c>
      <c r="S245">
        <f t="shared" si="12"/>
        <v>148.00000000046566</v>
      </c>
      <c r="T245">
        <f t="shared" si="11"/>
        <v>148</v>
      </c>
    </row>
    <row r="246" spans="1:20">
      <c r="A246" t="s">
        <v>473</v>
      </c>
      <c r="B246" t="s">
        <v>18</v>
      </c>
      <c r="C246" t="s">
        <v>19</v>
      </c>
      <c r="D246" t="s">
        <v>27</v>
      </c>
      <c r="E246" t="s">
        <v>177</v>
      </c>
      <c r="F246" t="s">
        <v>31</v>
      </c>
      <c r="G246">
        <v>33.99</v>
      </c>
      <c r="H246">
        <v>6</v>
      </c>
      <c r="I246">
        <v>10.196999999999999</v>
      </c>
      <c r="J246">
        <v>214.137</v>
      </c>
      <c r="K246" s="1">
        <v>43532</v>
      </c>
      <c r="L246" s="2">
        <v>0.65069444444444446</v>
      </c>
      <c r="M246" t="s">
        <v>32</v>
      </c>
      <c r="N246">
        <v>203.94</v>
      </c>
      <c r="O246">
        <v>4.7619047620000003</v>
      </c>
      <c r="P246">
        <v>10.196999999999999</v>
      </c>
      <c r="Q246">
        <v>7.7</v>
      </c>
      <c r="R246" s="3">
        <f t="shared" si="10"/>
        <v>43532.650694444441</v>
      </c>
      <c r="S246">
        <f t="shared" si="12"/>
        <v>135.99999999278225</v>
      </c>
      <c r="T246">
        <f t="shared" si="11"/>
        <v>136</v>
      </c>
    </row>
    <row r="247" spans="1:20">
      <c r="A247" t="s">
        <v>130</v>
      </c>
      <c r="B247" t="s">
        <v>18</v>
      </c>
      <c r="C247" t="s">
        <v>19</v>
      </c>
      <c r="D247" t="s">
        <v>20</v>
      </c>
      <c r="E247" t="s">
        <v>21</v>
      </c>
      <c r="F247" t="s">
        <v>28</v>
      </c>
      <c r="G247">
        <v>97.16</v>
      </c>
      <c r="H247">
        <v>1</v>
      </c>
      <c r="I247">
        <v>4.8579999999999997</v>
      </c>
      <c r="J247">
        <v>102.018</v>
      </c>
      <c r="K247" s="1">
        <v>43532</v>
      </c>
      <c r="L247" s="2">
        <v>0.85972222222222228</v>
      </c>
      <c r="M247" t="s">
        <v>23</v>
      </c>
      <c r="N247">
        <v>97.16</v>
      </c>
      <c r="O247">
        <v>4.7619047620000003</v>
      </c>
      <c r="P247">
        <v>4.8579999999999997</v>
      </c>
      <c r="Q247">
        <v>7.2</v>
      </c>
      <c r="R247" s="3">
        <f t="shared" si="10"/>
        <v>43532.859722222223</v>
      </c>
      <c r="S247">
        <f t="shared" si="12"/>
        <v>301.00000000675209</v>
      </c>
      <c r="T247">
        <f t="shared" si="11"/>
        <v>301</v>
      </c>
    </row>
    <row r="248" spans="1:20" hidden="1">
      <c r="A248" t="s">
        <v>662</v>
      </c>
      <c r="B248" t="s">
        <v>18</v>
      </c>
      <c r="C248" t="s">
        <v>19</v>
      </c>
      <c r="D248" t="s">
        <v>27</v>
      </c>
      <c r="E248" t="s">
        <v>177</v>
      </c>
      <c r="F248" t="s">
        <v>35</v>
      </c>
      <c r="G248">
        <v>60.87</v>
      </c>
      <c r="H248">
        <v>2</v>
      </c>
      <c r="I248">
        <v>6.0869999999999997</v>
      </c>
      <c r="J248">
        <v>127.827</v>
      </c>
      <c r="K248" s="1">
        <v>43533</v>
      </c>
      <c r="L248" s="2">
        <v>0.52569444444444446</v>
      </c>
      <c r="M248" t="s">
        <v>23</v>
      </c>
      <c r="N248">
        <v>121.74</v>
      </c>
      <c r="O248">
        <v>4.7619047620000003</v>
      </c>
      <c r="P248">
        <v>6.0869999999999997</v>
      </c>
      <c r="Q248">
        <v>8.6999999999999993</v>
      </c>
      <c r="R248" s="3">
        <f t="shared" si="10"/>
        <v>43533.525694444441</v>
      </c>
      <c r="S248" t="str">
        <f t="shared" si="12"/>
        <v/>
      </c>
      <c r="T248" t="str">
        <f t="shared" si="11"/>
        <v/>
      </c>
    </row>
    <row r="249" spans="1:20">
      <c r="A249" t="s">
        <v>429</v>
      </c>
      <c r="B249" t="s">
        <v>18</v>
      </c>
      <c r="C249" t="s">
        <v>19</v>
      </c>
      <c r="D249" t="s">
        <v>20</v>
      </c>
      <c r="E249" t="s">
        <v>21</v>
      </c>
      <c r="F249" t="s">
        <v>35</v>
      </c>
      <c r="G249">
        <v>52.26</v>
      </c>
      <c r="H249">
        <v>10</v>
      </c>
      <c r="I249">
        <v>26.13</v>
      </c>
      <c r="J249">
        <v>548.73</v>
      </c>
      <c r="K249" s="1">
        <v>43533</v>
      </c>
      <c r="L249" s="2">
        <v>0.53125</v>
      </c>
      <c r="M249" t="s">
        <v>32</v>
      </c>
      <c r="N249">
        <v>522.6</v>
      </c>
      <c r="O249">
        <v>4.7619047620000003</v>
      </c>
      <c r="P249">
        <v>26.13</v>
      </c>
      <c r="Q249">
        <v>6.2</v>
      </c>
      <c r="R249" s="3">
        <f t="shared" si="10"/>
        <v>43533.53125</v>
      </c>
      <c r="S249">
        <f t="shared" si="12"/>
        <v>8.0000000051222742</v>
      </c>
      <c r="T249">
        <f t="shared" si="11"/>
        <v>8</v>
      </c>
    </row>
    <row r="250" spans="1:20">
      <c r="A250" t="s">
        <v>791</v>
      </c>
      <c r="B250" t="s">
        <v>18</v>
      </c>
      <c r="C250" t="s">
        <v>19</v>
      </c>
      <c r="D250" t="s">
        <v>27</v>
      </c>
      <c r="E250" t="s">
        <v>21</v>
      </c>
      <c r="F250" t="s">
        <v>45</v>
      </c>
      <c r="G250">
        <v>97.29</v>
      </c>
      <c r="H250">
        <v>8</v>
      </c>
      <c r="I250">
        <v>38.915999999999997</v>
      </c>
      <c r="J250">
        <v>817.23599999999999</v>
      </c>
      <c r="K250" s="1">
        <v>43533</v>
      </c>
      <c r="L250" s="2">
        <v>0.5541666666666667</v>
      </c>
      <c r="M250" t="s">
        <v>32</v>
      </c>
      <c r="N250">
        <v>778.32</v>
      </c>
      <c r="O250">
        <v>4.7619047620000003</v>
      </c>
      <c r="P250">
        <v>38.915999999999997</v>
      </c>
      <c r="Q250">
        <v>6.2</v>
      </c>
      <c r="R250" s="3">
        <f t="shared" si="10"/>
        <v>43533.554166666669</v>
      </c>
      <c r="S250">
        <f t="shared" si="12"/>
        <v>33.000000002793968</v>
      </c>
      <c r="T250">
        <f t="shared" si="11"/>
        <v>33</v>
      </c>
    </row>
    <row r="251" spans="1:20">
      <c r="A251" t="s">
        <v>621</v>
      </c>
      <c r="B251" t="s">
        <v>18</v>
      </c>
      <c r="C251" t="s">
        <v>19</v>
      </c>
      <c r="D251" t="s">
        <v>27</v>
      </c>
      <c r="E251" t="s">
        <v>177</v>
      </c>
      <c r="F251" t="s">
        <v>22</v>
      </c>
      <c r="G251">
        <v>51.71</v>
      </c>
      <c r="H251">
        <v>4</v>
      </c>
      <c r="I251">
        <v>10.342000000000001</v>
      </c>
      <c r="J251">
        <v>217.18199999999999</v>
      </c>
      <c r="K251" s="1">
        <v>43533</v>
      </c>
      <c r="L251" s="2">
        <v>0.57847222222222228</v>
      </c>
      <c r="M251" t="s">
        <v>32</v>
      </c>
      <c r="N251">
        <v>206.84</v>
      </c>
      <c r="O251">
        <v>4.7619047620000003</v>
      </c>
      <c r="P251">
        <v>10.342000000000001</v>
      </c>
      <c r="Q251">
        <v>9.8000000000000007</v>
      </c>
      <c r="R251" s="3">
        <f t="shared" si="10"/>
        <v>43533.578472222223</v>
      </c>
      <c r="S251">
        <f t="shared" si="12"/>
        <v>34.999999998835847</v>
      </c>
      <c r="T251">
        <f t="shared" si="11"/>
        <v>35</v>
      </c>
    </row>
    <row r="252" spans="1:20">
      <c r="A252" t="s">
        <v>270</v>
      </c>
      <c r="B252" t="s">
        <v>18</v>
      </c>
      <c r="C252" t="s">
        <v>19</v>
      </c>
      <c r="D252" t="s">
        <v>20</v>
      </c>
      <c r="E252" t="s">
        <v>177</v>
      </c>
      <c r="F252" t="s">
        <v>22</v>
      </c>
      <c r="G252">
        <v>51.94</v>
      </c>
      <c r="H252">
        <v>10</v>
      </c>
      <c r="I252">
        <v>25.97</v>
      </c>
      <c r="J252">
        <v>545.37</v>
      </c>
      <c r="K252" s="1">
        <v>43533</v>
      </c>
      <c r="L252" s="2">
        <v>0.76666666666666672</v>
      </c>
      <c r="M252" t="s">
        <v>23</v>
      </c>
      <c r="N252">
        <v>519.4</v>
      </c>
      <c r="O252">
        <v>4.7619047620000003</v>
      </c>
      <c r="P252">
        <v>25.97</v>
      </c>
      <c r="Q252">
        <v>6.5</v>
      </c>
      <c r="R252" s="3">
        <f t="shared" si="10"/>
        <v>43533.76666666667</v>
      </c>
      <c r="S252">
        <f t="shared" si="12"/>
        <v>271.00000000325963</v>
      </c>
      <c r="T252">
        <f t="shared" si="11"/>
        <v>271</v>
      </c>
    </row>
    <row r="253" spans="1:20">
      <c r="A253" t="s">
        <v>362</v>
      </c>
      <c r="B253" t="s">
        <v>18</v>
      </c>
      <c r="C253" t="s">
        <v>19</v>
      </c>
      <c r="D253" t="s">
        <v>20</v>
      </c>
      <c r="E253" t="s">
        <v>177</v>
      </c>
      <c r="F253" t="s">
        <v>43</v>
      </c>
      <c r="G253">
        <v>99.78</v>
      </c>
      <c r="H253">
        <v>5</v>
      </c>
      <c r="I253">
        <v>24.945</v>
      </c>
      <c r="J253">
        <v>523.84500000000003</v>
      </c>
      <c r="K253" s="1">
        <v>43533</v>
      </c>
      <c r="L253" s="2">
        <v>0.79791666666666672</v>
      </c>
      <c r="M253" t="s">
        <v>29</v>
      </c>
      <c r="N253">
        <v>498.9</v>
      </c>
      <c r="O253">
        <v>4.7619047620000003</v>
      </c>
      <c r="P253">
        <v>24.945</v>
      </c>
      <c r="Q253">
        <v>5.4</v>
      </c>
      <c r="R253" s="3">
        <f t="shared" si="10"/>
        <v>43533.79791666667</v>
      </c>
      <c r="S253">
        <f t="shared" si="12"/>
        <v>45</v>
      </c>
      <c r="T253">
        <f t="shared" si="11"/>
        <v>45</v>
      </c>
    </row>
    <row r="254" spans="1:20" hidden="1">
      <c r="A254" t="s">
        <v>62</v>
      </c>
      <c r="B254" t="s">
        <v>18</v>
      </c>
      <c r="C254" t="s">
        <v>19</v>
      </c>
      <c r="D254" t="s">
        <v>20</v>
      </c>
      <c r="E254" t="s">
        <v>21</v>
      </c>
      <c r="F254" t="s">
        <v>45</v>
      </c>
      <c r="G254">
        <v>87.67</v>
      </c>
      <c r="H254">
        <v>2</v>
      </c>
      <c r="I254">
        <v>8.7669999999999995</v>
      </c>
      <c r="J254">
        <v>184.107</v>
      </c>
      <c r="K254" s="1">
        <v>43534</v>
      </c>
      <c r="L254" s="2">
        <v>0.51180555555555551</v>
      </c>
      <c r="M254" t="s">
        <v>32</v>
      </c>
      <c r="N254">
        <v>175.34</v>
      </c>
      <c r="O254">
        <v>4.7619047620000003</v>
      </c>
      <c r="P254">
        <v>8.7669999999999995</v>
      </c>
      <c r="Q254">
        <v>7.7</v>
      </c>
      <c r="R254" s="3">
        <f t="shared" si="10"/>
        <v>43534.511805555558</v>
      </c>
      <c r="S254" t="str">
        <f t="shared" si="12"/>
        <v/>
      </c>
      <c r="T254" t="str">
        <f t="shared" si="11"/>
        <v/>
      </c>
    </row>
    <row r="255" spans="1:20">
      <c r="A255" t="s">
        <v>160</v>
      </c>
      <c r="B255" t="s">
        <v>18</v>
      </c>
      <c r="C255" t="s">
        <v>19</v>
      </c>
      <c r="D255" t="s">
        <v>20</v>
      </c>
      <c r="E255" t="s">
        <v>21</v>
      </c>
      <c r="F255" t="s">
        <v>31</v>
      </c>
      <c r="G255">
        <v>93.69</v>
      </c>
      <c r="H255">
        <v>7</v>
      </c>
      <c r="I255">
        <v>32.791499999999999</v>
      </c>
      <c r="J255">
        <v>688.62149999999997</v>
      </c>
      <c r="K255" s="1">
        <v>43534</v>
      </c>
      <c r="L255" s="2">
        <v>0.78055555555555556</v>
      </c>
      <c r="M255" t="s">
        <v>32</v>
      </c>
      <c r="N255">
        <v>655.83</v>
      </c>
      <c r="O255">
        <v>4.7619047620000003</v>
      </c>
      <c r="P255">
        <v>32.791499999999999</v>
      </c>
      <c r="Q255">
        <v>4.5</v>
      </c>
      <c r="R255" s="3">
        <f t="shared" si="10"/>
        <v>43534.780555555553</v>
      </c>
      <c r="S255">
        <f t="shared" si="12"/>
        <v>386.99999999371357</v>
      </c>
      <c r="T255">
        <f t="shared" si="11"/>
        <v>387</v>
      </c>
    </row>
    <row r="256" spans="1:20">
      <c r="A256" t="s">
        <v>449</v>
      </c>
      <c r="B256" t="s">
        <v>18</v>
      </c>
      <c r="C256" t="s">
        <v>19</v>
      </c>
      <c r="D256" t="s">
        <v>27</v>
      </c>
      <c r="E256" t="s">
        <v>177</v>
      </c>
      <c r="F256" t="s">
        <v>35</v>
      </c>
      <c r="G256">
        <v>25.84</v>
      </c>
      <c r="H256">
        <v>3</v>
      </c>
      <c r="I256">
        <v>3.8759999999999999</v>
      </c>
      <c r="J256">
        <v>81.396000000000001</v>
      </c>
      <c r="K256" s="1">
        <v>43534</v>
      </c>
      <c r="L256" s="2">
        <v>0.78819444444444442</v>
      </c>
      <c r="M256" t="s">
        <v>23</v>
      </c>
      <c r="N256">
        <v>77.52</v>
      </c>
      <c r="O256">
        <v>4.7619047620000003</v>
      </c>
      <c r="P256">
        <v>3.8759999999999999</v>
      </c>
      <c r="Q256">
        <v>6.6</v>
      </c>
      <c r="R256" s="3">
        <f t="shared" si="10"/>
        <v>43534.788194444445</v>
      </c>
      <c r="S256">
        <f t="shared" si="12"/>
        <v>11.000000004423782</v>
      </c>
      <c r="T256">
        <f t="shared" si="11"/>
        <v>11</v>
      </c>
    </row>
    <row r="257" spans="1:20">
      <c r="A257" t="s">
        <v>71</v>
      </c>
      <c r="B257" t="s">
        <v>18</v>
      </c>
      <c r="C257" t="s">
        <v>19</v>
      </c>
      <c r="D257" t="s">
        <v>20</v>
      </c>
      <c r="E257" t="s">
        <v>21</v>
      </c>
      <c r="F257" t="s">
        <v>35</v>
      </c>
      <c r="G257">
        <v>62.62</v>
      </c>
      <c r="H257">
        <v>5</v>
      </c>
      <c r="I257">
        <v>15.654999999999999</v>
      </c>
      <c r="J257">
        <v>328.755</v>
      </c>
      <c r="K257" s="1">
        <v>43534</v>
      </c>
      <c r="L257" s="2">
        <v>0.80208333333333337</v>
      </c>
      <c r="M257" t="s">
        <v>23</v>
      </c>
      <c r="N257">
        <v>313.10000000000002</v>
      </c>
      <c r="O257">
        <v>4.7619047620000003</v>
      </c>
      <c r="P257">
        <v>15.654999999999999</v>
      </c>
      <c r="Q257">
        <v>7</v>
      </c>
      <c r="R257" s="3">
        <f t="shared" si="10"/>
        <v>43534.802083333336</v>
      </c>
      <c r="S257">
        <f t="shared" si="12"/>
        <v>20.000000002328306</v>
      </c>
      <c r="T257">
        <f t="shared" si="11"/>
        <v>20</v>
      </c>
    </row>
    <row r="258" spans="1:20">
      <c r="A258" t="s">
        <v>608</v>
      </c>
      <c r="B258" t="s">
        <v>18</v>
      </c>
      <c r="C258" t="s">
        <v>19</v>
      </c>
      <c r="D258" t="s">
        <v>20</v>
      </c>
      <c r="E258" t="s">
        <v>177</v>
      </c>
      <c r="F258" t="s">
        <v>43</v>
      </c>
      <c r="G258">
        <v>10.130000000000001</v>
      </c>
      <c r="H258">
        <v>7</v>
      </c>
      <c r="I258">
        <v>3.5455000000000001</v>
      </c>
      <c r="J258">
        <v>74.455500000000001</v>
      </c>
      <c r="K258" s="1">
        <v>43534</v>
      </c>
      <c r="L258" s="2">
        <v>0.81597222222222221</v>
      </c>
      <c r="M258" t="s">
        <v>23</v>
      </c>
      <c r="N258">
        <v>70.91</v>
      </c>
      <c r="O258">
        <v>4.7619047620000003</v>
      </c>
      <c r="P258">
        <v>3.5455000000000001</v>
      </c>
      <c r="Q258">
        <v>8.3000000000000007</v>
      </c>
      <c r="R258" s="3">
        <f t="shared" ref="R258:R321" si="13">K258+L258</f>
        <v>43534.815972222219</v>
      </c>
      <c r="S258">
        <f t="shared" si="12"/>
        <v>19.999999991850927</v>
      </c>
      <c r="T258">
        <f t="shared" si="11"/>
        <v>20</v>
      </c>
    </row>
    <row r="259" spans="1:20">
      <c r="A259" t="s">
        <v>1028</v>
      </c>
      <c r="B259" t="s">
        <v>18</v>
      </c>
      <c r="C259" t="s">
        <v>19</v>
      </c>
      <c r="D259" t="s">
        <v>27</v>
      </c>
      <c r="E259" t="s">
        <v>177</v>
      </c>
      <c r="F259" t="s">
        <v>28</v>
      </c>
      <c r="G259">
        <v>58.03</v>
      </c>
      <c r="H259">
        <v>2</v>
      </c>
      <c r="I259">
        <v>5.8029999999999999</v>
      </c>
      <c r="J259">
        <v>121.863</v>
      </c>
      <c r="K259" s="1">
        <v>43534</v>
      </c>
      <c r="L259" s="2">
        <v>0.86527777777777781</v>
      </c>
      <c r="M259" t="s">
        <v>23</v>
      </c>
      <c r="N259">
        <v>116.06</v>
      </c>
      <c r="O259">
        <v>4.7619047620000003</v>
      </c>
      <c r="P259">
        <v>5.8029999999999999</v>
      </c>
      <c r="Q259">
        <v>8.8000000000000007</v>
      </c>
      <c r="R259" s="3">
        <f t="shared" si="13"/>
        <v>43534.865277777775</v>
      </c>
      <c r="S259">
        <f t="shared" si="12"/>
        <v>71.000000000931323</v>
      </c>
      <c r="T259">
        <f t="shared" ref="T259:T322" si="14">IF(S259="","",ROUND(S259,2))</f>
        <v>71</v>
      </c>
    </row>
    <row r="260" spans="1:20" hidden="1">
      <c r="A260" t="s">
        <v>51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68.930000000000007</v>
      </c>
      <c r="H260">
        <v>7</v>
      </c>
      <c r="I260">
        <v>24.125499999999999</v>
      </c>
      <c r="J260">
        <v>506.63549999999998</v>
      </c>
      <c r="K260" s="1">
        <v>43535</v>
      </c>
      <c r="L260" s="2">
        <v>0.46041666666666664</v>
      </c>
      <c r="M260" t="s">
        <v>32</v>
      </c>
      <c r="N260">
        <v>482.51</v>
      </c>
      <c r="O260">
        <v>4.7619047620000003</v>
      </c>
      <c r="P260">
        <v>24.125499999999999</v>
      </c>
      <c r="Q260">
        <v>4.5999999999999996</v>
      </c>
      <c r="R260" s="3">
        <f t="shared" si="13"/>
        <v>43535.460416666669</v>
      </c>
      <c r="S260" t="str">
        <f t="shared" si="12"/>
        <v/>
      </c>
      <c r="T260" t="str">
        <f t="shared" si="14"/>
        <v/>
      </c>
    </row>
    <row r="261" spans="1:20">
      <c r="A261" t="s">
        <v>277</v>
      </c>
      <c r="B261" t="s">
        <v>18</v>
      </c>
      <c r="C261" t="s">
        <v>19</v>
      </c>
      <c r="D261" t="s">
        <v>27</v>
      </c>
      <c r="E261" t="s">
        <v>177</v>
      </c>
      <c r="F261" t="s">
        <v>22</v>
      </c>
      <c r="G261">
        <v>59.77</v>
      </c>
      <c r="H261">
        <v>2</v>
      </c>
      <c r="I261">
        <v>5.9770000000000003</v>
      </c>
      <c r="J261">
        <v>125.517</v>
      </c>
      <c r="K261" s="1">
        <v>43535</v>
      </c>
      <c r="L261" s="2">
        <v>0.50069444444444444</v>
      </c>
      <c r="M261" t="s">
        <v>32</v>
      </c>
      <c r="N261">
        <v>119.54</v>
      </c>
      <c r="O261">
        <v>4.7619047620000003</v>
      </c>
      <c r="P261">
        <v>5.9770000000000003</v>
      </c>
      <c r="Q261">
        <v>5.8</v>
      </c>
      <c r="R261" s="3">
        <f t="shared" si="13"/>
        <v>43535.500694444447</v>
      </c>
      <c r="S261">
        <f t="shared" si="12"/>
        <v>58.000000000465661</v>
      </c>
      <c r="T261">
        <f t="shared" si="14"/>
        <v>58</v>
      </c>
    </row>
    <row r="262" spans="1:20">
      <c r="A262" t="s">
        <v>953</v>
      </c>
      <c r="B262" t="s">
        <v>18</v>
      </c>
      <c r="C262" t="s">
        <v>19</v>
      </c>
      <c r="D262" t="s">
        <v>27</v>
      </c>
      <c r="E262" t="s">
        <v>21</v>
      </c>
      <c r="F262" t="s">
        <v>45</v>
      </c>
      <c r="G262">
        <v>94.67</v>
      </c>
      <c r="H262">
        <v>4</v>
      </c>
      <c r="I262">
        <v>18.934000000000001</v>
      </c>
      <c r="J262">
        <v>397.61399999999998</v>
      </c>
      <c r="K262" s="1">
        <v>43535</v>
      </c>
      <c r="L262" s="2">
        <v>0.50277777777777777</v>
      </c>
      <c r="M262" t="s">
        <v>29</v>
      </c>
      <c r="N262">
        <v>378.68</v>
      </c>
      <c r="O262">
        <v>4.7619047620000003</v>
      </c>
      <c r="P262">
        <v>18.934000000000001</v>
      </c>
      <c r="Q262">
        <v>6.8</v>
      </c>
      <c r="R262" s="3">
        <f t="shared" si="13"/>
        <v>43535.50277777778</v>
      </c>
      <c r="S262">
        <f t="shared" si="12"/>
        <v>2.9999999993015081</v>
      </c>
      <c r="T262">
        <f t="shared" si="14"/>
        <v>3</v>
      </c>
    </row>
    <row r="263" spans="1:20">
      <c r="A263" t="s">
        <v>265</v>
      </c>
      <c r="B263" t="s">
        <v>18</v>
      </c>
      <c r="C263" t="s">
        <v>19</v>
      </c>
      <c r="D263" t="s">
        <v>27</v>
      </c>
      <c r="E263" t="s">
        <v>21</v>
      </c>
      <c r="F263" t="s">
        <v>31</v>
      </c>
      <c r="G263">
        <v>63.42</v>
      </c>
      <c r="H263">
        <v>8</v>
      </c>
      <c r="I263">
        <v>25.367999999999999</v>
      </c>
      <c r="J263">
        <v>532.72799999999995</v>
      </c>
      <c r="K263" s="1">
        <v>43535</v>
      </c>
      <c r="L263" s="2">
        <v>0.53819444444444442</v>
      </c>
      <c r="M263" t="s">
        <v>23</v>
      </c>
      <c r="N263">
        <v>507.36</v>
      </c>
      <c r="O263">
        <v>4.7619047620000003</v>
      </c>
      <c r="P263">
        <v>25.367999999999999</v>
      </c>
      <c r="Q263">
        <v>7.4</v>
      </c>
      <c r="R263" s="3">
        <f t="shared" si="13"/>
        <v>43535.538194444445</v>
      </c>
      <c r="S263">
        <f t="shared" si="12"/>
        <v>50.999999998603016</v>
      </c>
      <c r="T263">
        <f t="shared" si="14"/>
        <v>51</v>
      </c>
    </row>
    <row r="264" spans="1:20">
      <c r="A264" t="s">
        <v>570</v>
      </c>
      <c r="B264" t="s">
        <v>18</v>
      </c>
      <c r="C264" t="s">
        <v>19</v>
      </c>
      <c r="D264" t="s">
        <v>27</v>
      </c>
      <c r="E264" t="s">
        <v>21</v>
      </c>
      <c r="F264" t="s">
        <v>31</v>
      </c>
      <c r="G264">
        <v>28.32</v>
      </c>
      <c r="H264">
        <v>5</v>
      </c>
      <c r="I264">
        <v>7.08</v>
      </c>
      <c r="J264">
        <v>148.68</v>
      </c>
      <c r="K264" s="1">
        <v>43535</v>
      </c>
      <c r="L264" s="2">
        <v>0.56111111111111112</v>
      </c>
      <c r="M264" t="s">
        <v>23</v>
      </c>
      <c r="N264">
        <v>141.6</v>
      </c>
      <c r="O264">
        <v>4.7619047620000003</v>
      </c>
      <c r="P264">
        <v>7.08</v>
      </c>
      <c r="Q264">
        <v>6.2</v>
      </c>
      <c r="R264" s="3">
        <f t="shared" si="13"/>
        <v>43535.561111111114</v>
      </c>
      <c r="S264">
        <f t="shared" si="12"/>
        <v>33.000000002793968</v>
      </c>
      <c r="T264">
        <f t="shared" si="14"/>
        <v>33</v>
      </c>
    </row>
    <row r="265" spans="1:20" hidden="1">
      <c r="A265" t="s">
        <v>301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98.4</v>
      </c>
      <c r="H265">
        <v>7</v>
      </c>
      <c r="I265">
        <v>34.44</v>
      </c>
      <c r="J265">
        <v>723.24</v>
      </c>
      <c r="K265" s="1">
        <v>43536</v>
      </c>
      <c r="L265" s="2">
        <v>0.52986111111111112</v>
      </c>
      <c r="M265" t="s">
        <v>32</v>
      </c>
      <c r="N265">
        <v>688.8</v>
      </c>
      <c r="O265">
        <v>4.7619047620000003</v>
      </c>
      <c r="P265">
        <v>34.44</v>
      </c>
      <c r="Q265">
        <v>8.6999999999999993</v>
      </c>
      <c r="R265" s="3">
        <f t="shared" si="13"/>
        <v>43536.529861111114</v>
      </c>
      <c r="S265" t="str">
        <f t="shared" si="12"/>
        <v/>
      </c>
      <c r="T265" t="str">
        <f t="shared" si="14"/>
        <v/>
      </c>
    </row>
    <row r="266" spans="1:20">
      <c r="A266" t="s">
        <v>320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47.67</v>
      </c>
      <c r="H266">
        <v>4</v>
      </c>
      <c r="I266">
        <v>9.5340000000000007</v>
      </c>
      <c r="J266">
        <v>200.214</v>
      </c>
      <c r="K266" s="1">
        <v>43536</v>
      </c>
      <c r="L266" s="2">
        <v>0.59791666666666665</v>
      </c>
      <c r="M266" t="s">
        <v>29</v>
      </c>
      <c r="N266">
        <v>190.68</v>
      </c>
      <c r="O266">
        <v>4.7619047620000003</v>
      </c>
      <c r="P266">
        <v>9.5340000000000007</v>
      </c>
      <c r="Q266">
        <v>9.1</v>
      </c>
      <c r="R266" s="3">
        <f t="shared" si="13"/>
        <v>43536.597916666666</v>
      </c>
      <c r="S266">
        <f t="shared" si="12"/>
        <v>97.999999994644895</v>
      </c>
      <c r="T266">
        <f t="shared" si="14"/>
        <v>98</v>
      </c>
    </row>
    <row r="267" spans="1:20" hidden="1">
      <c r="A267" t="s">
        <v>432</v>
      </c>
      <c r="B267" t="s">
        <v>18</v>
      </c>
      <c r="C267" t="s">
        <v>19</v>
      </c>
      <c r="D267" t="s">
        <v>27</v>
      </c>
      <c r="E267" t="s">
        <v>21</v>
      </c>
      <c r="F267" t="s">
        <v>43</v>
      </c>
      <c r="G267">
        <v>54.27</v>
      </c>
      <c r="H267">
        <v>5</v>
      </c>
      <c r="I267">
        <v>13.567500000000001</v>
      </c>
      <c r="J267">
        <v>284.91750000000002</v>
      </c>
      <c r="K267" s="1">
        <v>43537</v>
      </c>
      <c r="L267" s="2">
        <v>0.59444444444444444</v>
      </c>
      <c r="M267" t="s">
        <v>23</v>
      </c>
      <c r="N267">
        <v>271.35000000000002</v>
      </c>
      <c r="O267">
        <v>4.7619047620000003</v>
      </c>
      <c r="P267">
        <v>13.567500000000001</v>
      </c>
      <c r="Q267">
        <v>4.5999999999999996</v>
      </c>
      <c r="R267" s="3">
        <f t="shared" si="13"/>
        <v>43537.594444444447</v>
      </c>
      <c r="S267" t="str">
        <f t="shared" si="12"/>
        <v/>
      </c>
      <c r="T267" t="str">
        <f t="shared" si="14"/>
        <v/>
      </c>
    </row>
    <row r="268" spans="1:20">
      <c r="A268" t="s">
        <v>100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15.87</v>
      </c>
      <c r="H268">
        <v>10</v>
      </c>
      <c r="I268">
        <v>7.9349999999999996</v>
      </c>
      <c r="J268">
        <v>166.63499999999999</v>
      </c>
      <c r="K268" s="1">
        <v>43537</v>
      </c>
      <c r="L268" s="2">
        <v>0.69444444444444442</v>
      </c>
      <c r="M268" t="s">
        <v>29</v>
      </c>
      <c r="N268">
        <v>158.69999999999999</v>
      </c>
      <c r="O268">
        <v>4.7619047620000003</v>
      </c>
      <c r="P268">
        <v>7.9349999999999996</v>
      </c>
      <c r="Q268">
        <v>5.8</v>
      </c>
      <c r="R268" s="3">
        <f t="shared" si="13"/>
        <v>43537.694444444445</v>
      </c>
      <c r="S268">
        <f t="shared" si="12"/>
        <v>143.99999999790452</v>
      </c>
      <c r="T268">
        <f t="shared" si="14"/>
        <v>144</v>
      </c>
    </row>
    <row r="269" spans="1:20">
      <c r="A269" t="s">
        <v>198</v>
      </c>
      <c r="B269" t="s">
        <v>18</v>
      </c>
      <c r="C269" t="s">
        <v>19</v>
      </c>
      <c r="D269" t="s">
        <v>27</v>
      </c>
      <c r="E269" t="s">
        <v>177</v>
      </c>
      <c r="F269" t="s">
        <v>43</v>
      </c>
      <c r="G269">
        <v>45.79</v>
      </c>
      <c r="H269">
        <v>7</v>
      </c>
      <c r="I269">
        <v>16.026499999999999</v>
      </c>
      <c r="J269">
        <v>336.55650000000003</v>
      </c>
      <c r="K269" s="1">
        <v>43537</v>
      </c>
      <c r="L269" s="2">
        <v>0.82222222222222219</v>
      </c>
      <c r="M269" t="s">
        <v>32</v>
      </c>
      <c r="N269">
        <v>320.52999999999997</v>
      </c>
      <c r="O269">
        <v>4.7619047620000003</v>
      </c>
      <c r="P269">
        <v>16.026499999999999</v>
      </c>
      <c r="Q269">
        <v>7</v>
      </c>
      <c r="R269" s="3">
        <f t="shared" si="13"/>
        <v>43537.822222222225</v>
      </c>
      <c r="S269">
        <f t="shared" si="12"/>
        <v>184.00000000256114</v>
      </c>
      <c r="T269">
        <f t="shared" si="14"/>
        <v>184</v>
      </c>
    </row>
    <row r="270" spans="1:20" hidden="1">
      <c r="A270" t="s">
        <v>369</v>
      </c>
      <c r="B270" t="s">
        <v>18</v>
      </c>
      <c r="C270" t="s">
        <v>19</v>
      </c>
      <c r="D270" t="s">
        <v>20</v>
      </c>
      <c r="E270" t="s">
        <v>177</v>
      </c>
      <c r="F270" t="s">
        <v>43</v>
      </c>
      <c r="G270">
        <v>23.48</v>
      </c>
      <c r="H270">
        <v>2</v>
      </c>
      <c r="I270">
        <v>2.3479999999999999</v>
      </c>
      <c r="J270">
        <v>49.308</v>
      </c>
      <c r="K270" s="1">
        <v>43538</v>
      </c>
      <c r="L270" s="2">
        <v>0.47291666666666665</v>
      </c>
      <c r="M270" t="s">
        <v>32</v>
      </c>
      <c r="N270">
        <v>46.96</v>
      </c>
      <c r="O270">
        <v>4.7619047620000003</v>
      </c>
      <c r="P270">
        <v>2.3479999999999999</v>
      </c>
      <c r="Q270">
        <v>7.9</v>
      </c>
      <c r="R270" s="3">
        <f t="shared" si="13"/>
        <v>43538.472916666666</v>
      </c>
      <c r="S270" t="str">
        <f t="shared" si="12"/>
        <v/>
      </c>
      <c r="T270" t="str">
        <f t="shared" si="14"/>
        <v/>
      </c>
    </row>
    <row r="271" spans="1:20">
      <c r="A271" t="s">
        <v>549</v>
      </c>
      <c r="B271" t="s">
        <v>18</v>
      </c>
      <c r="C271" t="s">
        <v>19</v>
      </c>
      <c r="D271" t="s">
        <v>27</v>
      </c>
      <c r="E271" t="s">
        <v>177</v>
      </c>
      <c r="F271" t="s">
        <v>28</v>
      </c>
      <c r="G271">
        <v>99.55</v>
      </c>
      <c r="H271">
        <v>7</v>
      </c>
      <c r="I271">
        <v>34.842500000000001</v>
      </c>
      <c r="J271">
        <v>731.6925</v>
      </c>
      <c r="K271" s="1">
        <v>43538</v>
      </c>
      <c r="L271" s="2">
        <v>0.50486111111111109</v>
      </c>
      <c r="M271" t="s">
        <v>29</v>
      </c>
      <c r="N271">
        <v>696.85</v>
      </c>
      <c r="O271">
        <v>4.7619047620000003</v>
      </c>
      <c r="P271">
        <v>34.842500000000001</v>
      </c>
      <c r="Q271">
        <v>7.6</v>
      </c>
      <c r="R271" s="3">
        <f t="shared" si="13"/>
        <v>43538.504861111112</v>
      </c>
      <c r="S271">
        <f t="shared" si="12"/>
        <v>46.000000003259629</v>
      </c>
      <c r="T271">
        <f t="shared" si="14"/>
        <v>46</v>
      </c>
    </row>
    <row r="272" spans="1:20">
      <c r="A272" t="s">
        <v>691</v>
      </c>
      <c r="B272" t="s">
        <v>18</v>
      </c>
      <c r="C272" t="s">
        <v>19</v>
      </c>
      <c r="D272" t="s">
        <v>27</v>
      </c>
      <c r="E272" t="s">
        <v>21</v>
      </c>
      <c r="F272" t="s">
        <v>28</v>
      </c>
      <c r="G272">
        <v>15.69</v>
      </c>
      <c r="H272">
        <v>3</v>
      </c>
      <c r="I272">
        <v>2.3534999999999999</v>
      </c>
      <c r="J272">
        <v>49.423499999999997</v>
      </c>
      <c r="K272" s="1">
        <v>43538</v>
      </c>
      <c r="L272" s="2">
        <v>0.59236111111111112</v>
      </c>
      <c r="M272" t="s">
        <v>32</v>
      </c>
      <c r="N272">
        <v>47.07</v>
      </c>
      <c r="O272">
        <v>4.7619047620000003</v>
      </c>
      <c r="P272">
        <v>2.3534999999999999</v>
      </c>
      <c r="Q272">
        <v>5.8</v>
      </c>
      <c r="R272" s="3">
        <f t="shared" si="13"/>
        <v>43538.592361111114</v>
      </c>
      <c r="S272">
        <f t="shared" si="12"/>
        <v>126.00000000209548</v>
      </c>
      <c r="T272">
        <f t="shared" si="14"/>
        <v>126</v>
      </c>
    </row>
    <row r="273" spans="1:20">
      <c r="A273" t="s">
        <v>1018</v>
      </c>
      <c r="B273" t="s">
        <v>18</v>
      </c>
      <c r="C273" t="s">
        <v>19</v>
      </c>
      <c r="D273" t="s">
        <v>20</v>
      </c>
      <c r="E273" t="s">
        <v>21</v>
      </c>
      <c r="F273" t="s">
        <v>35</v>
      </c>
      <c r="G273">
        <v>97.48</v>
      </c>
      <c r="H273">
        <v>9</v>
      </c>
      <c r="I273">
        <v>43.866</v>
      </c>
      <c r="J273">
        <v>921.18600000000004</v>
      </c>
      <c r="K273" s="1">
        <v>43538</v>
      </c>
      <c r="L273" s="2">
        <v>0.59652777777777777</v>
      </c>
      <c r="M273" t="s">
        <v>23</v>
      </c>
      <c r="N273">
        <v>877.32</v>
      </c>
      <c r="O273">
        <v>4.7619047620000003</v>
      </c>
      <c r="P273">
        <v>43.866</v>
      </c>
      <c r="Q273">
        <v>7.4</v>
      </c>
      <c r="R273" s="3">
        <f t="shared" si="13"/>
        <v>43538.59652777778</v>
      </c>
      <c r="S273">
        <f t="shared" ref="S273:S336" si="15">IF(K273=K272, (R273-R272)*1440, "")</f>
        <v>5.9999999986030161</v>
      </c>
      <c r="T273">
        <f t="shared" si="14"/>
        <v>6</v>
      </c>
    </row>
    <row r="274" spans="1:20" hidden="1">
      <c r="A274" t="s">
        <v>68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96.58</v>
      </c>
      <c r="H274">
        <v>2</v>
      </c>
      <c r="I274">
        <v>9.6579999999999995</v>
      </c>
      <c r="J274">
        <v>202.81800000000001</v>
      </c>
      <c r="K274" s="1">
        <v>43539</v>
      </c>
      <c r="L274" s="2">
        <v>0.42499999999999999</v>
      </c>
      <c r="M274" t="s">
        <v>32</v>
      </c>
      <c r="N274">
        <v>193.16</v>
      </c>
      <c r="O274">
        <v>4.7619047620000003</v>
      </c>
      <c r="P274">
        <v>9.6579999999999995</v>
      </c>
      <c r="Q274">
        <v>5.0999999999999996</v>
      </c>
      <c r="R274" s="3">
        <f t="shared" si="13"/>
        <v>43539.425000000003</v>
      </c>
      <c r="S274" t="str">
        <f t="shared" si="15"/>
        <v/>
      </c>
      <c r="T274" t="str">
        <f t="shared" si="14"/>
        <v/>
      </c>
    </row>
    <row r="275" spans="1:20">
      <c r="A275" t="s">
        <v>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24.89</v>
      </c>
      <c r="H275">
        <v>9</v>
      </c>
      <c r="I275">
        <v>11.2005</v>
      </c>
      <c r="J275">
        <v>235.2105</v>
      </c>
      <c r="K275" s="1">
        <v>43539</v>
      </c>
      <c r="L275" s="2">
        <v>0.65</v>
      </c>
      <c r="M275" t="s">
        <v>29</v>
      </c>
      <c r="N275">
        <v>224.01</v>
      </c>
      <c r="O275">
        <v>4.7619047620000003</v>
      </c>
      <c r="P275">
        <v>11.2005</v>
      </c>
      <c r="Q275">
        <v>7.4</v>
      </c>
      <c r="R275" s="3">
        <f t="shared" si="13"/>
        <v>43539.65</v>
      </c>
      <c r="S275">
        <f t="shared" si="15"/>
        <v>323.99999999790452</v>
      </c>
      <c r="T275">
        <f t="shared" si="14"/>
        <v>324</v>
      </c>
    </row>
    <row r="276" spans="1:20">
      <c r="A276" t="s">
        <v>527</v>
      </c>
      <c r="B276" t="s">
        <v>18</v>
      </c>
      <c r="C276" t="s">
        <v>19</v>
      </c>
      <c r="D276" t="s">
        <v>20</v>
      </c>
      <c r="E276" t="s">
        <v>21</v>
      </c>
      <c r="F276" t="s">
        <v>45</v>
      </c>
      <c r="G276">
        <v>19.66</v>
      </c>
      <c r="H276">
        <v>10</v>
      </c>
      <c r="I276">
        <v>9.83</v>
      </c>
      <c r="J276">
        <v>206.43</v>
      </c>
      <c r="K276" s="1">
        <v>43539</v>
      </c>
      <c r="L276" s="2">
        <v>0.76388888888888884</v>
      </c>
      <c r="M276" t="s">
        <v>32</v>
      </c>
      <c r="N276">
        <v>196.6</v>
      </c>
      <c r="O276">
        <v>4.7619047620000003</v>
      </c>
      <c r="P276">
        <v>9.83</v>
      </c>
      <c r="Q276">
        <v>7.2</v>
      </c>
      <c r="R276" s="3">
        <f t="shared" si="13"/>
        <v>43539.763888888891</v>
      </c>
      <c r="S276">
        <f t="shared" si="15"/>
        <v>164.00000000023283</v>
      </c>
      <c r="T276">
        <f t="shared" si="14"/>
        <v>164</v>
      </c>
    </row>
    <row r="277" spans="1:20" hidden="1">
      <c r="A277" t="s">
        <v>289</v>
      </c>
      <c r="B277" t="s">
        <v>18</v>
      </c>
      <c r="C277" t="s">
        <v>19</v>
      </c>
      <c r="D277" t="s">
        <v>27</v>
      </c>
      <c r="E277" t="s">
        <v>177</v>
      </c>
      <c r="F277" t="s">
        <v>31</v>
      </c>
      <c r="G277">
        <v>23.75</v>
      </c>
      <c r="H277">
        <v>4</v>
      </c>
      <c r="I277">
        <v>4.75</v>
      </c>
      <c r="J277">
        <v>99.75</v>
      </c>
      <c r="K277" s="1">
        <v>43540</v>
      </c>
      <c r="L277" s="2">
        <v>0.47361111111111109</v>
      </c>
      <c r="M277" t="s">
        <v>29</v>
      </c>
      <c r="N277">
        <v>95</v>
      </c>
      <c r="O277">
        <v>4.7619047620000003</v>
      </c>
      <c r="P277">
        <v>4.75</v>
      </c>
      <c r="Q277">
        <v>5.2</v>
      </c>
      <c r="R277" s="3">
        <f t="shared" si="13"/>
        <v>43540.473611111112</v>
      </c>
      <c r="S277" t="str">
        <f t="shared" si="15"/>
        <v/>
      </c>
      <c r="T277" t="str">
        <f t="shared" si="14"/>
        <v/>
      </c>
    </row>
    <row r="278" spans="1:20">
      <c r="A278" t="s">
        <v>488</v>
      </c>
      <c r="B278" t="s">
        <v>18</v>
      </c>
      <c r="C278" t="s">
        <v>19</v>
      </c>
      <c r="D278" t="s">
        <v>27</v>
      </c>
      <c r="E278" t="s">
        <v>21</v>
      </c>
      <c r="F278" t="s">
        <v>43</v>
      </c>
      <c r="G278">
        <v>63.61</v>
      </c>
      <c r="H278">
        <v>5</v>
      </c>
      <c r="I278">
        <v>15.9025</v>
      </c>
      <c r="J278">
        <v>333.95249999999999</v>
      </c>
      <c r="K278" s="1">
        <v>43540</v>
      </c>
      <c r="L278" s="2">
        <v>0.52986111111111112</v>
      </c>
      <c r="M278" t="s">
        <v>23</v>
      </c>
      <c r="N278">
        <v>318.05</v>
      </c>
      <c r="O278">
        <v>4.7619047620000003</v>
      </c>
      <c r="P278">
        <v>15.9025</v>
      </c>
      <c r="Q278">
        <v>4.8</v>
      </c>
      <c r="R278" s="3">
        <f t="shared" si="13"/>
        <v>43540.529861111114</v>
      </c>
      <c r="S278">
        <f t="shared" si="15"/>
        <v>81.000000002095476</v>
      </c>
      <c r="T278">
        <f t="shared" si="14"/>
        <v>81</v>
      </c>
    </row>
    <row r="279" spans="1:20">
      <c r="A279" t="s">
        <v>174</v>
      </c>
      <c r="B279" t="s">
        <v>18</v>
      </c>
      <c r="C279" t="s">
        <v>19</v>
      </c>
      <c r="D279" t="s">
        <v>27</v>
      </c>
      <c r="E279" t="s">
        <v>21</v>
      </c>
      <c r="F279" t="s">
        <v>35</v>
      </c>
      <c r="G279">
        <v>72.5</v>
      </c>
      <c r="H279">
        <v>8</v>
      </c>
      <c r="I279">
        <v>29</v>
      </c>
      <c r="J279">
        <v>609</v>
      </c>
      <c r="K279" s="1">
        <v>43540</v>
      </c>
      <c r="L279" s="2">
        <v>0.80902777777777779</v>
      </c>
      <c r="M279" t="s">
        <v>23</v>
      </c>
      <c r="N279">
        <v>580</v>
      </c>
      <c r="O279">
        <v>4.7619047620000003</v>
      </c>
      <c r="P279">
        <v>29</v>
      </c>
      <c r="Q279">
        <v>9.1999999999999993</v>
      </c>
      <c r="R279" s="3">
        <f t="shared" si="13"/>
        <v>43540.809027777781</v>
      </c>
      <c r="S279">
        <f t="shared" si="15"/>
        <v>402.00000000069849</v>
      </c>
      <c r="T279">
        <f t="shared" si="14"/>
        <v>402</v>
      </c>
    </row>
    <row r="280" spans="1:20" hidden="1">
      <c r="A280" t="s">
        <v>841</v>
      </c>
      <c r="B280" t="s">
        <v>18</v>
      </c>
      <c r="C280" t="s">
        <v>19</v>
      </c>
      <c r="D280" t="s">
        <v>27</v>
      </c>
      <c r="E280" t="s">
        <v>21</v>
      </c>
      <c r="F280" t="s">
        <v>31</v>
      </c>
      <c r="G280">
        <v>77.47</v>
      </c>
      <c r="H280">
        <v>4</v>
      </c>
      <c r="I280">
        <v>15.494</v>
      </c>
      <c r="J280">
        <v>325.37400000000002</v>
      </c>
      <c r="K280" s="1">
        <v>43541</v>
      </c>
      <c r="L280" s="2">
        <v>0.69166666666666665</v>
      </c>
      <c r="M280" t="s">
        <v>29</v>
      </c>
      <c r="N280">
        <v>309.88</v>
      </c>
      <c r="O280">
        <v>4.7619047620000003</v>
      </c>
      <c r="P280">
        <v>15.494</v>
      </c>
      <c r="Q280">
        <v>4.2</v>
      </c>
      <c r="R280" s="3">
        <f t="shared" si="13"/>
        <v>43541.691666666666</v>
      </c>
      <c r="S280" t="str">
        <f t="shared" si="15"/>
        <v/>
      </c>
      <c r="T280" t="str">
        <f t="shared" si="14"/>
        <v/>
      </c>
    </row>
    <row r="281" spans="1:20">
      <c r="A281" t="s">
        <v>925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76.92</v>
      </c>
      <c r="H281">
        <v>10</v>
      </c>
      <c r="I281">
        <v>38.46</v>
      </c>
      <c r="J281">
        <v>807.66</v>
      </c>
      <c r="K281" s="1">
        <v>43541</v>
      </c>
      <c r="L281" s="2">
        <v>0.82847222222222228</v>
      </c>
      <c r="M281" t="s">
        <v>23</v>
      </c>
      <c r="N281">
        <v>769.2</v>
      </c>
      <c r="O281">
        <v>4.7619047620000003</v>
      </c>
      <c r="P281">
        <v>38.46</v>
      </c>
      <c r="Q281">
        <v>5.6</v>
      </c>
      <c r="R281" s="3">
        <f t="shared" si="13"/>
        <v>43541.828472222223</v>
      </c>
      <c r="S281">
        <f t="shared" si="15"/>
        <v>197.0000000030268</v>
      </c>
      <c r="T281">
        <f t="shared" si="14"/>
        <v>197</v>
      </c>
    </row>
    <row r="282" spans="1:20" hidden="1">
      <c r="A282" t="s">
        <v>512</v>
      </c>
      <c r="B282" t="s">
        <v>18</v>
      </c>
      <c r="C282" t="s">
        <v>19</v>
      </c>
      <c r="D282" t="s">
        <v>27</v>
      </c>
      <c r="E282" t="s">
        <v>21</v>
      </c>
      <c r="F282" t="s">
        <v>35</v>
      </c>
      <c r="G282">
        <v>33.26</v>
      </c>
      <c r="H282">
        <v>5</v>
      </c>
      <c r="I282">
        <v>8.3149999999999995</v>
      </c>
      <c r="J282">
        <v>174.61500000000001</v>
      </c>
      <c r="K282" s="1">
        <v>43542</v>
      </c>
      <c r="L282" s="2">
        <v>0.67361111111111116</v>
      </c>
      <c r="M282" t="s">
        <v>32</v>
      </c>
      <c r="N282">
        <v>166.3</v>
      </c>
      <c r="O282">
        <v>4.7619047620000003</v>
      </c>
      <c r="P282">
        <v>8.3149999999999995</v>
      </c>
      <c r="Q282">
        <v>4.2</v>
      </c>
      <c r="R282" s="3">
        <f t="shared" si="13"/>
        <v>43542.673611111109</v>
      </c>
      <c r="S282" t="str">
        <f t="shared" si="15"/>
        <v/>
      </c>
      <c r="T282" t="str">
        <f t="shared" si="14"/>
        <v/>
      </c>
    </row>
    <row r="283" spans="1:20">
      <c r="A283" t="s">
        <v>339</v>
      </c>
      <c r="B283" t="s">
        <v>18</v>
      </c>
      <c r="C283" t="s">
        <v>19</v>
      </c>
      <c r="D283" t="s">
        <v>27</v>
      </c>
      <c r="E283" t="s">
        <v>21</v>
      </c>
      <c r="F283" t="s">
        <v>28</v>
      </c>
      <c r="G283">
        <v>51.19</v>
      </c>
      <c r="H283">
        <v>4</v>
      </c>
      <c r="I283">
        <v>10.238</v>
      </c>
      <c r="J283">
        <v>214.99799999999999</v>
      </c>
      <c r="K283" s="1">
        <v>43542</v>
      </c>
      <c r="L283" s="2">
        <v>0.71875</v>
      </c>
      <c r="M283" t="s">
        <v>32</v>
      </c>
      <c r="N283">
        <v>204.76</v>
      </c>
      <c r="O283">
        <v>4.7619047620000003</v>
      </c>
      <c r="P283">
        <v>10.238</v>
      </c>
      <c r="Q283">
        <v>4.7</v>
      </c>
      <c r="R283" s="3">
        <f t="shared" si="13"/>
        <v>43542.71875</v>
      </c>
      <c r="S283">
        <f t="shared" si="15"/>
        <v>65.000000002328306</v>
      </c>
      <c r="T283">
        <f t="shared" si="14"/>
        <v>65</v>
      </c>
    </row>
    <row r="284" spans="1:20" hidden="1">
      <c r="A284" t="s">
        <v>230</v>
      </c>
      <c r="B284" t="s">
        <v>18</v>
      </c>
      <c r="C284" t="s">
        <v>19</v>
      </c>
      <c r="D284" t="s">
        <v>27</v>
      </c>
      <c r="E284" t="s">
        <v>177</v>
      </c>
      <c r="F284" t="s">
        <v>28</v>
      </c>
      <c r="G284">
        <v>32.71</v>
      </c>
      <c r="H284">
        <v>5</v>
      </c>
      <c r="I284">
        <v>8.1775000000000002</v>
      </c>
      <c r="J284">
        <v>171.72749999999999</v>
      </c>
      <c r="K284" s="1">
        <v>43543</v>
      </c>
      <c r="L284" s="2">
        <v>0.47916666666666669</v>
      </c>
      <c r="M284" t="s">
        <v>32</v>
      </c>
      <c r="N284">
        <v>163.55000000000001</v>
      </c>
      <c r="O284">
        <v>4.7619047620000003</v>
      </c>
      <c r="P284">
        <v>8.1775000000000002</v>
      </c>
      <c r="Q284">
        <v>9.9</v>
      </c>
      <c r="R284" s="3">
        <f t="shared" si="13"/>
        <v>43543.479166666664</v>
      </c>
      <c r="S284" t="str">
        <f t="shared" si="15"/>
        <v/>
      </c>
      <c r="T284" t="str">
        <f t="shared" si="14"/>
        <v/>
      </c>
    </row>
    <row r="285" spans="1:20">
      <c r="A285" t="s">
        <v>910</v>
      </c>
      <c r="B285" t="s">
        <v>18</v>
      </c>
      <c r="C285" t="s">
        <v>19</v>
      </c>
      <c r="D285" t="s">
        <v>20</v>
      </c>
      <c r="E285" t="s">
        <v>177</v>
      </c>
      <c r="F285" t="s">
        <v>31</v>
      </c>
      <c r="G285">
        <v>23.29</v>
      </c>
      <c r="H285">
        <v>4</v>
      </c>
      <c r="I285">
        <v>4.6580000000000004</v>
      </c>
      <c r="J285">
        <v>97.817999999999998</v>
      </c>
      <c r="K285" s="1">
        <v>43543</v>
      </c>
      <c r="L285" s="2">
        <v>0.49444444444444446</v>
      </c>
      <c r="M285" t="s">
        <v>32</v>
      </c>
      <c r="N285">
        <v>93.16</v>
      </c>
      <c r="O285">
        <v>4.7619047620000003</v>
      </c>
      <c r="P285">
        <v>4.6580000000000004</v>
      </c>
      <c r="Q285">
        <v>5.9</v>
      </c>
      <c r="R285" s="3">
        <f t="shared" si="13"/>
        <v>43543.494444444441</v>
      </c>
      <c r="S285">
        <f t="shared" si="15"/>
        <v>21.999999998370185</v>
      </c>
      <c r="T285">
        <f t="shared" si="14"/>
        <v>22</v>
      </c>
    </row>
    <row r="286" spans="1:20">
      <c r="A286" t="s">
        <v>296</v>
      </c>
      <c r="B286" t="s">
        <v>18</v>
      </c>
      <c r="C286" t="s">
        <v>19</v>
      </c>
      <c r="D286" t="s">
        <v>27</v>
      </c>
      <c r="E286" t="s">
        <v>21</v>
      </c>
      <c r="F286" t="s">
        <v>28</v>
      </c>
      <c r="G286">
        <v>75.06</v>
      </c>
      <c r="H286">
        <v>9</v>
      </c>
      <c r="I286">
        <v>33.777000000000001</v>
      </c>
      <c r="J286">
        <v>709.31700000000001</v>
      </c>
      <c r="K286" s="1">
        <v>43543</v>
      </c>
      <c r="L286" s="2">
        <v>0.55902777777777779</v>
      </c>
      <c r="M286" t="s">
        <v>23</v>
      </c>
      <c r="N286">
        <v>675.54</v>
      </c>
      <c r="O286">
        <v>4.7619047620000003</v>
      </c>
      <c r="P286">
        <v>33.777000000000001</v>
      </c>
      <c r="Q286">
        <v>6.2</v>
      </c>
      <c r="R286" s="3">
        <f t="shared" si="13"/>
        <v>43543.559027777781</v>
      </c>
      <c r="S286">
        <f t="shared" si="15"/>
        <v>93.000000009778887</v>
      </c>
      <c r="T286">
        <f t="shared" si="14"/>
        <v>93</v>
      </c>
    </row>
    <row r="287" spans="1:20">
      <c r="A287" t="s">
        <v>920</v>
      </c>
      <c r="B287" t="s">
        <v>18</v>
      </c>
      <c r="C287" t="s">
        <v>19</v>
      </c>
      <c r="D287" t="s">
        <v>20</v>
      </c>
      <c r="E287" t="s">
        <v>21</v>
      </c>
      <c r="F287" t="s">
        <v>43</v>
      </c>
      <c r="G287">
        <v>83.34</v>
      </c>
      <c r="H287">
        <v>2</v>
      </c>
      <c r="I287">
        <v>8.3339999999999996</v>
      </c>
      <c r="J287">
        <v>175.01400000000001</v>
      </c>
      <c r="K287" s="1">
        <v>43543</v>
      </c>
      <c r="L287" s="2">
        <v>0.56736111111111109</v>
      </c>
      <c r="M287" t="s">
        <v>29</v>
      </c>
      <c r="N287">
        <v>166.68</v>
      </c>
      <c r="O287">
        <v>4.7619047620000003</v>
      </c>
      <c r="P287">
        <v>8.3339999999999996</v>
      </c>
      <c r="Q287">
        <v>7.6</v>
      </c>
      <c r="R287" s="3">
        <f t="shared" si="13"/>
        <v>43543.567361111112</v>
      </c>
      <c r="S287">
        <f t="shared" si="15"/>
        <v>11.999999997206032</v>
      </c>
      <c r="T287">
        <f t="shared" si="14"/>
        <v>12</v>
      </c>
    </row>
    <row r="288" spans="1:20">
      <c r="A288" t="s">
        <v>998</v>
      </c>
      <c r="B288" t="s">
        <v>18</v>
      </c>
      <c r="C288" t="s">
        <v>19</v>
      </c>
      <c r="D288" t="s">
        <v>27</v>
      </c>
      <c r="E288" t="s">
        <v>21</v>
      </c>
      <c r="F288" t="s">
        <v>45</v>
      </c>
      <c r="G288">
        <v>15.5</v>
      </c>
      <c r="H288">
        <v>1</v>
      </c>
      <c r="I288">
        <v>0.77500000000000002</v>
      </c>
      <c r="J288">
        <v>16.274999999999999</v>
      </c>
      <c r="K288" s="1">
        <v>43543</v>
      </c>
      <c r="L288" s="2">
        <v>0.64097222222222228</v>
      </c>
      <c r="M288" t="s">
        <v>32</v>
      </c>
      <c r="N288">
        <v>15.5</v>
      </c>
      <c r="O288">
        <v>4.7619047620000003</v>
      </c>
      <c r="P288">
        <v>0.77500000000000002</v>
      </c>
      <c r="Q288">
        <v>7.4</v>
      </c>
      <c r="R288" s="3">
        <f t="shared" si="13"/>
        <v>43543.640972222223</v>
      </c>
      <c r="S288">
        <f t="shared" si="15"/>
        <v>105.99999999976717</v>
      </c>
      <c r="T288">
        <f t="shared" si="14"/>
        <v>106</v>
      </c>
    </row>
    <row r="289" spans="1:20">
      <c r="A289" t="s">
        <v>372</v>
      </c>
      <c r="B289" t="s">
        <v>18</v>
      </c>
      <c r="C289" t="s">
        <v>19</v>
      </c>
      <c r="D289" t="s">
        <v>27</v>
      </c>
      <c r="E289" t="s">
        <v>177</v>
      </c>
      <c r="F289" t="s">
        <v>45</v>
      </c>
      <c r="G289">
        <v>76.400000000000006</v>
      </c>
      <c r="H289">
        <v>9</v>
      </c>
      <c r="I289">
        <v>34.380000000000003</v>
      </c>
      <c r="J289">
        <v>721.98</v>
      </c>
      <c r="K289" s="1">
        <v>43543</v>
      </c>
      <c r="L289" s="2">
        <v>0.65902777777777777</v>
      </c>
      <c r="M289" t="s">
        <v>23</v>
      </c>
      <c r="N289">
        <v>687.6</v>
      </c>
      <c r="O289">
        <v>4.7619047620000003</v>
      </c>
      <c r="P289">
        <v>34.380000000000003</v>
      </c>
      <c r="Q289">
        <v>7.5</v>
      </c>
      <c r="R289" s="3">
        <f t="shared" si="13"/>
        <v>43543.65902777778</v>
      </c>
      <c r="S289">
        <f t="shared" si="15"/>
        <v>26.000000000931323</v>
      </c>
      <c r="T289">
        <f t="shared" si="14"/>
        <v>26</v>
      </c>
    </row>
    <row r="290" spans="1:20" hidden="1">
      <c r="A290" t="s">
        <v>775</v>
      </c>
      <c r="B290" t="s">
        <v>18</v>
      </c>
      <c r="C290" t="s">
        <v>19</v>
      </c>
      <c r="D290" t="s">
        <v>27</v>
      </c>
      <c r="E290" t="s">
        <v>177</v>
      </c>
      <c r="F290" t="s">
        <v>31</v>
      </c>
      <c r="G290">
        <v>93.96</v>
      </c>
      <c r="H290">
        <v>9</v>
      </c>
      <c r="I290">
        <v>42.281999999999996</v>
      </c>
      <c r="J290">
        <v>887.92200000000003</v>
      </c>
      <c r="K290" s="1">
        <v>43544</v>
      </c>
      <c r="L290" s="2">
        <v>0.48055555555555557</v>
      </c>
      <c r="M290" t="s">
        <v>29</v>
      </c>
      <c r="N290">
        <v>845.64</v>
      </c>
      <c r="O290">
        <v>4.7619047620000003</v>
      </c>
      <c r="P290">
        <v>42.281999999999996</v>
      </c>
      <c r="Q290">
        <v>9.8000000000000007</v>
      </c>
      <c r="R290" s="3">
        <f t="shared" si="13"/>
        <v>43544.480555555558</v>
      </c>
      <c r="S290" t="str">
        <f t="shared" si="15"/>
        <v/>
      </c>
      <c r="T290" t="str">
        <f t="shared" si="14"/>
        <v/>
      </c>
    </row>
    <row r="291" spans="1:20">
      <c r="A291" t="s">
        <v>651</v>
      </c>
      <c r="B291" t="s">
        <v>18</v>
      </c>
      <c r="C291" t="s">
        <v>19</v>
      </c>
      <c r="D291" t="s">
        <v>20</v>
      </c>
      <c r="E291" t="s">
        <v>21</v>
      </c>
      <c r="F291" t="s">
        <v>35</v>
      </c>
      <c r="G291">
        <v>38.72</v>
      </c>
      <c r="H291">
        <v>9</v>
      </c>
      <c r="I291">
        <v>17.423999999999999</v>
      </c>
      <c r="J291">
        <v>365.904</v>
      </c>
      <c r="K291" s="1">
        <v>43544</v>
      </c>
      <c r="L291" s="2">
        <v>0.51666666666666672</v>
      </c>
      <c r="M291" t="s">
        <v>23</v>
      </c>
      <c r="N291">
        <v>348.48</v>
      </c>
      <c r="O291">
        <v>4.7619047620000003</v>
      </c>
      <c r="P291">
        <v>17.423999999999999</v>
      </c>
      <c r="Q291">
        <v>4.2</v>
      </c>
      <c r="R291" s="3">
        <f t="shared" si="13"/>
        <v>43544.51666666667</v>
      </c>
      <c r="S291">
        <f t="shared" si="15"/>
        <v>52.000000001862645</v>
      </c>
      <c r="T291">
        <f t="shared" si="14"/>
        <v>52</v>
      </c>
    </row>
    <row r="292" spans="1:20">
      <c r="A292" t="s">
        <v>599</v>
      </c>
      <c r="B292" t="s">
        <v>18</v>
      </c>
      <c r="C292" t="s">
        <v>19</v>
      </c>
      <c r="D292" t="s">
        <v>20</v>
      </c>
      <c r="E292" t="s">
        <v>177</v>
      </c>
      <c r="F292" t="s">
        <v>28</v>
      </c>
      <c r="G292">
        <v>74.510000000000005</v>
      </c>
      <c r="H292">
        <v>6</v>
      </c>
      <c r="I292">
        <v>22.353000000000002</v>
      </c>
      <c r="J292">
        <v>469.41300000000001</v>
      </c>
      <c r="K292" s="1">
        <v>43544</v>
      </c>
      <c r="L292" s="2">
        <v>0.63055555555555554</v>
      </c>
      <c r="M292" t="s">
        <v>23</v>
      </c>
      <c r="N292">
        <v>447.06</v>
      </c>
      <c r="O292">
        <v>4.7619047620000003</v>
      </c>
      <c r="P292">
        <v>22.353000000000002</v>
      </c>
      <c r="Q292">
        <v>5</v>
      </c>
      <c r="R292" s="3">
        <f t="shared" si="13"/>
        <v>43544.630555555559</v>
      </c>
      <c r="S292">
        <f t="shared" si="15"/>
        <v>164.00000000023283</v>
      </c>
      <c r="T292">
        <f t="shared" si="14"/>
        <v>164</v>
      </c>
    </row>
    <row r="293" spans="1:20">
      <c r="A293" t="s">
        <v>260</v>
      </c>
      <c r="B293" t="s">
        <v>18</v>
      </c>
      <c r="C293" t="s">
        <v>19</v>
      </c>
      <c r="D293" t="s">
        <v>27</v>
      </c>
      <c r="E293" t="s">
        <v>177</v>
      </c>
      <c r="F293" t="s">
        <v>43</v>
      </c>
      <c r="G293">
        <v>43.25</v>
      </c>
      <c r="H293">
        <v>2</v>
      </c>
      <c r="I293">
        <v>4.3250000000000002</v>
      </c>
      <c r="J293">
        <v>90.825000000000003</v>
      </c>
      <c r="K293" s="1">
        <v>43544</v>
      </c>
      <c r="L293" s="2">
        <v>0.66388888888888886</v>
      </c>
      <c r="M293" t="s">
        <v>29</v>
      </c>
      <c r="N293">
        <v>86.5</v>
      </c>
      <c r="O293">
        <v>4.7619047620000003</v>
      </c>
      <c r="P293">
        <v>4.3250000000000002</v>
      </c>
      <c r="Q293">
        <v>6.2</v>
      </c>
      <c r="R293" s="3">
        <f t="shared" si="13"/>
        <v>43544.663888888892</v>
      </c>
      <c r="S293">
        <f t="shared" si="15"/>
        <v>47.999999999301508</v>
      </c>
      <c r="T293">
        <f t="shared" si="14"/>
        <v>48</v>
      </c>
    </row>
    <row r="294" spans="1:20">
      <c r="A294" t="s">
        <v>657</v>
      </c>
      <c r="B294" t="s">
        <v>18</v>
      </c>
      <c r="C294" t="s">
        <v>19</v>
      </c>
      <c r="D294" t="s">
        <v>20</v>
      </c>
      <c r="E294" t="s">
        <v>21</v>
      </c>
      <c r="F294" t="s">
        <v>43</v>
      </c>
      <c r="G294">
        <v>91.61</v>
      </c>
      <c r="H294">
        <v>1</v>
      </c>
      <c r="I294">
        <v>4.5804999999999998</v>
      </c>
      <c r="J294">
        <v>96.1905</v>
      </c>
      <c r="K294" s="1">
        <v>43544</v>
      </c>
      <c r="L294" s="2">
        <v>0.82222222222222219</v>
      </c>
      <c r="M294" t="s">
        <v>29</v>
      </c>
      <c r="N294">
        <v>91.61</v>
      </c>
      <c r="O294">
        <v>4.7619047620000003</v>
      </c>
      <c r="P294">
        <v>4.5804999999999998</v>
      </c>
      <c r="Q294">
        <v>9.8000000000000007</v>
      </c>
      <c r="R294" s="3">
        <f t="shared" si="13"/>
        <v>43544.822222222225</v>
      </c>
      <c r="S294">
        <f t="shared" si="15"/>
        <v>227.99999999930151</v>
      </c>
      <c r="T294">
        <f t="shared" si="14"/>
        <v>228</v>
      </c>
    </row>
    <row r="295" spans="1:20">
      <c r="A295" t="s">
        <v>315</v>
      </c>
      <c r="B295" t="s">
        <v>18</v>
      </c>
      <c r="C295" t="s">
        <v>19</v>
      </c>
      <c r="D295" t="s">
        <v>20</v>
      </c>
      <c r="E295" t="s">
        <v>177</v>
      </c>
      <c r="F295" t="s">
        <v>35</v>
      </c>
      <c r="G295">
        <v>44.02</v>
      </c>
      <c r="H295">
        <v>10</v>
      </c>
      <c r="I295">
        <v>22.01</v>
      </c>
      <c r="J295">
        <v>462.21</v>
      </c>
      <c r="K295" s="1">
        <v>43544</v>
      </c>
      <c r="L295" s="2">
        <v>0.83125000000000004</v>
      </c>
      <c r="M295" t="s">
        <v>32</v>
      </c>
      <c r="N295">
        <v>440.2</v>
      </c>
      <c r="O295">
        <v>4.7619047620000003</v>
      </c>
      <c r="P295">
        <v>22.01</v>
      </c>
      <c r="Q295">
        <v>9.6</v>
      </c>
      <c r="R295" s="3">
        <f t="shared" si="13"/>
        <v>43544.831250000003</v>
      </c>
      <c r="S295">
        <f t="shared" si="15"/>
        <v>13.000000000465661</v>
      </c>
      <c r="T295">
        <f t="shared" si="14"/>
        <v>13</v>
      </c>
    </row>
    <row r="296" spans="1:20" hidden="1">
      <c r="A296" t="s">
        <v>371</v>
      </c>
      <c r="B296" t="s">
        <v>18</v>
      </c>
      <c r="C296" t="s">
        <v>19</v>
      </c>
      <c r="D296" t="s">
        <v>20</v>
      </c>
      <c r="E296" t="s">
        <v>21</v>
      </c>
      <c r="F296" t="s">
        <v>28</v>
      </c>
      <c r="G296">
        <v>28.45</v>
      </c>
      <c r="H296">
        <v>5</v>
      </c>
      <c r="I296">
        <v>7.1124999999999998</v>
      </c>
      <c r="J296">
        <v>149.36250000000001</v>
      </c>
      <c r="K296" s="1">
        <v>43545</v>
      </c>
      <c r="L296" s="2">
        <v>0.4284722222222222</v>
      </c>
      <c r="M296" t="s">
        <v>32</v>
      </c>
      <c r="N296">
        <v>142.25</v>
      </c>
      <c r="O296">
        <v>4.7619047620000003</v>
      </c>
      <c r="P296">
        <v>7.1124999999999998</v>
      </c>
      <c r="Q296">
        <v>9.1</v>
      </c>
      <c r="R296" s="3">
        <f t="shared" si="13"/>
        <v>43545.428472222222</v>
      </c>
      <c r="S296" t="str">
        <f t="shared" si="15"/>
        <v/>
      </c>
      <c r="T296" t="str">
        <f t="shared" si="14"/>
        <v/>
      </c>
    </row>
    <row r="297" spans="1:20">
      <c r="A297" t="s">
        <v>344</v>
      </c>
      <c r="B297" t="s">
        <v>18</v>
      </c>
      <c r="C297" t="s">
        <v>19</v>
      </c>
      <c r="D297" t="s">
        <v>20</v>
      </c>
      <c r="E297" t="s">
        <v>21</v>
      </c>
      <c r="F297" t="s">
        <v>28</v>
      </c>
      <c r="G297">
        <v>26.48</v>
      </c>
      <c r="H297">
        <v>3</v>
      </c>
      <c r="I297">
        <v>3.972</v>
      </c>
      <c r="J297">
        <v>83.412000000000006</v>
      </c>
      <c r="K297" s="1">
        <v>43545</v>
      </c>
      <c r="L297" s="2">
        <v>0.44444444444444442</v>
      </c>
      <c r="M297" t="s">
        <v>23</v>
      </c>
      <c r="N297">
        <v>79.44</v>
      </c>
      <c r="O297">
        <v>4.7619047620000003</v>
      </c>
      <c r="P297">
        <v>3.972</v>
      </c>
      <c r="Q297">
        <v>4.7</v>
      </c>
      <c r="R297" s="3">
        <f t="shared" si="13"/>
        <v>43545.444444444445</v>
      </c>
      <c r="S297">
        <f t="shared" si="15"/>
        <v>23.000000001629815</v>
      </c>
      <c r="T297">
        <f t="shared" si="14"/>
        <v>23</v>
      </c>
    </row>
    <row r="298" spans="1:20">
      <c r="A298" t="s">
        <v>914</v>
      </c>
      <c r="B298" t="s">
        <v>18</v>
      </c>
      <c r="C298" t="s">
        <v>19</v>
      </c>
      <c r="D298" t="s">
        <v>27</v>
      </c>
      <c r="E298" t="s">
        <v>21</v>
      </c>
      <c r="F298" t="s">
        <v>28</v>
      </c>
      <c r="G298">
        <v>90.02</v>
      </c>
      <c r="H298">
        <v>8</v>
      </c>
      <c r="I298">
        <v>36.008000000000003</v>
      </c>
      <c r="J298">
        <v>756.16800000000001</v>
      </c>
      <c r="K298" s="1">
        <v>43545</v>
      </c>
      <c r="L298" s="2">
        <v>0.67222222222222228</v>
      </c>
      <c r="M298" t="s">
        <v>32</v>
      </c>
      <c r="N298">
        <v>720.16</v>
      </c>
      <c r="O298">
        <v>4.7619047620000003</v>
      </c>
      <c r="P298">
        <v>36.008000000000003</v>
      </c>
      <c r="Q298">
        <v>4.5</v>
      </c>
      <c r="R298" s="3">
        <f t="shared" si="13"/>
        <v>43545.672222222223</v>
      </c>
      <c r="S298">
        <f t="shared" si="15"/>
        <v>328.00000000046566</v>
      </c>
      <c r="T298">
        <f t="shared" si="14"/>
        <v>328</v>
      </c>
    </row>
    <row r="299" spans="1:20">
      <c r="A299" t="s">
        <v>211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33.840000000000003</v>
      </c>
      <c r="H299">
        <v>9</v>
      </c>
      <c r="I299">
        <v>15.228</v>
      </c>
      <c r="J299">
        <v>319.78800000000001</v>
      </c>
      <c r="K299" s="1">
        <v>43545</v>
      </c>
      <c r="L299" s="2">
        <v>0.68125000000000002</v>
      </c>
      <c r="M299" t="s">
        <v>23</v>
      </c>
      <c r="N299">
        <v>304.56</v>
      </c>
      <c r="O299">
        <v>4.7619047620000003</v>
      </c>
      <c r="P299">
        <v>15.228</v>
      </c>
      <c r="Q299">
        <v>8.8000000000000007</v>
      </c>
      <c r="R299" s="3">
        <f t="shared" si="13"/>
        <v>43545.681250000001</v>
      </c>
      <c r="S299">
        <f t="shared" si="15"/>
        <v>13.000000000465661</v>
      </c>
      <c r="T299">
        <f t="shared" si="14"/>
        <v>13</v>
      </c>
    </row>
    <row r="300" spans="1:20" hidden="1">
      <c r="A300" t="s">
        <v>849</v>
      </c>
      <c r="B300" t="s">
        <v>18</v>
      </c>
      <c r="C300" t="s">
        <v>19</v>
      </c>
      <c r="D300" t="s">
        <v>27</v>
      </c>
      <c r="E300" t="s">
        <v>177</v>
      </c>
      <c r="F300" t="s">
        <v>28</v>
      </c>
      <c r="G300">
        <v>95.15</v>
      </c>
      <c r="H300">
        <v>1</v>
      </c>
      <c r="I300">
        <v>4.7575000000000003</v>
      </c>
      <c r="J300">
        <v>99.907499999999999</v>
      </c>
      <c r="K300" s="1">
        <v>43546</v>
      </c>
      <c r="L300" s="2">
        <v>0.58333333333333337</v>
      </c>
      <c r="M300" t="s">
        <v>29</v>
      </c>
      <c r="N300">
        <v>95.15</v>
      </c>
      <c r="O300">
        <v>4.7619047620000003</v>
      </c>
      <c r="P300">
        <v>4.7575000000000003</v>
      </c>
      <c r="Q300">
        <v>6</v>
      </c>
      <c r="R300" s="3">
        <f t="shared" si="13"/>
        <v>43546.583333333336</v>
      </c>
      <c r="S300" t="str">
        <f t="shared" si="15"/>
        <v/>
      </c>
      <c r="T300" t="str">
        <f t="shared" si="14"/>
        <v/>
      </c>
    </row>
    <row r="301" spans="1:20">
      <c r="A301" t="s">
        <v>610</v>
      </c>
      <c r="B301" t="s">
        <v>18</v>
      </c>
      <c r="C301" t="s">
        <v>19</v>
      </c>
      <c r="D301" t="s">
        <v>27</v>
      </c>
      <c r="E301" t="s">
        <v>177</v>
      </c>
      <c r="F301" t="s">
        <v>35</v>
      </c>
      <c r="G301">
        <v>85.91</v>
      </c>
      <c r="H301">
        <v>5</v>
      </c>
      <c r="I301">
        <v>21.477499999999999</v>
      </c>
      <c r="J301">
        <v>451.02749999999997</v>
      </c>
      <c r="K301" s="1">
        <v>43546</v>
      </c>
      <c r="L301" s="2">
        <v>0.60624999999999996</v>
      </c>
      <c r="M301" t="s">
        <v>32</v>
      </c>
      <c r="N301">
        <v>429.55</v>
      </c>
      <c r="O301">
        <v>4.7619047620000003</v>
      </c>
      <c r="P301">
        <v>21.477499999999999</v>
      </c>
      <c r="Q301">
        <v>8.6</v>
      </c>
      <c r="R301" s="3">
        <f t="shared" si="13"/>
        <v>43546.606249999997</v>
      </c>
      <c r="S301">
        <f t="shared" si="15"/>
        <v>32.999999992316589</v>
      </c>
      <c r="T301">
        <f t="shared" si="14"/>
        <v>33</v>
      </c>
    </row>
    <row r="302" spans="1:20">
      <c r="A302" t="s">
        <v>251</v>
      </c>
      <c r="B302" t="s">
        <v>18</v>
      </c>
      <c r="C302" t="s">
        <v>19</v>
      </c>
      <c r="D302" t="s">
        <v>27</v>
      </c>
      <c r="E302" t="s">
        <v>177</v>
      </c>
      <c r="F302" t="s">
        <v>31</v>
      </c>
      <c r="G302">
        <v>18.28</v>
      </c>
      <c r="H302">
        <v>1</v>
      </c>
      <c r="I302">
        <v>0.91400000000000003</v>
      </c>
      <c r="J302">
        <v>19.193999999999999</v>
      </c>
      <c r="K302" s="1">
        <v>43546</v>
      </c>
      <c r="L302" s="2">
        <v>0.62847222222222221</v>
      </c>
      <c r="M302" t="s">
        <v>32</v>
      </c>
      <c r="N302">
        <v>18.28</v>
      </c>
      <c r="O302">
        <v>4.7619047620000003</v>
      </c>
      <c r="P302">
        <v>0.91400000000000003</v>
      </c>
      <c r="Q302">
        <v>8.3000000000000007</v>
      </c>
      <c r="R302" s="3">
        <f t="shared" si="13"/>
        <v>43546.628472222219</v>
      </c>
      <c r="S302">
        <f t="shared" si="15"/>
        <v>31.999999999534339</v>
      </c>
      <c r="T302">
        <f t="shared" si="14"/>
        <v>32</v>
      </c>
    </row>
    <row r="303" spans="1:20">
      <c r="A303" t="s">
        <v>1026</v>
      </c>
      <c r="B303" t="s">
        <v>18</v>
      </c>
      <c r="C303" t="s">
        <v>19</v>
      </c>
      <c r="D303" t="s">
        <v>27</v>
      </c>
      <c r="E303" t="s">
        <v>21</v>
      </c>
      <c r="F303" t="s">
        <v>43</v>
      </c>
      <c r="G303">
        <v>56.56</v>
      </c>
      <c r="H303">
        <v>5</v>
      </c>
      <c r="I303">
        <v>14.14</v>
      </c>
      <c r="J303">
        <v>296.94</v>
      </c>
      <c r="K303" s="1">
        <v>43546</v>
      </c>
      <c r="L303" s="2">
        <v>0.79583333333333328</v>
      </c>
      <c r="M303" t="s">
        <v>32</v>
      </c>
      <c r="N303">
        <v>282.8</v>
      </c>
      <c r="O303">
        <v>4.7619047620000003</v>
      </c>
      <c r="P303">
        <v>14.14</v>
      </c>
      <c r="Q303">
        <v>4.5</v>
      </c>
      <c r="R303" s="3">
        <f t="shared" si="13"/>
        <v>43546.79583333333</v>
      </c>
      <c r="S303">
        <f t="shared" si="15"/>
        <v>240.99999999976717</v>
      </c>
      <c r="T303">
        <f t="shared" si="14"/>
        <v>241</v>
      </c>
    </row>
    <row r="304" spans="1:20">
      <c r="A304" t="s">
        <v>60</v>
      </c>
      <c r="B304" t="s">
        <v>18</v>
      </c>
      <c r="C304" t="s">
        <v>19</v>
      </c>
      <c r="D304" t="s">
        <v>20</v>
      </c>
      <c r="E304" t="s">
        <v>21</v>
      </c>
      <c r="F304" t="s">
        <v>31</v>
      </c>
      <c r="G304">
        <v>52.59</v>
      </c>
      <c r="H304">
        <v>8</v>
      </c>
      <c r="I304">
        <v>21.036000000000001</v>
      </c>
      <c r="J304">
        <v>441.75599999999997</v>
      </c>
      <c r="K304" s="1">
        <v>43546</v>
      </c>
      <c r="L304" s="2">
        <v>0.80555555555555558</v>
      </c>
      <c r="M304" t="s">
        <v>32</v>
      </c>
      <c r="N304">
        <v>420.72</v>
      </c>
      <c r="O304">
        <v>4.7619047620000003</v>
      </c>
      <c r="P304">
        <v>21.036000000000001</v>
      </c>
      <c r="Q304">
        <v>8.5</v>
      </c>
      <c r="R304" s="3">
        <f t="shared" si="13"/>
        <v>43546.805555555555</v>
      </c>
      <c r="S304">
        <f t="shared" si="15"/>
        <v>14.00000000372529</v>
      </c>
      <c r="T304">
        <f t="shared" si="14"/>
        <v>14</v>
      </c>
    </row>
    <row r="305" spans="1:20">
      <c r="A305" t="s">
        <v>450</v>
      </c>
      <c r="B305" t="s">
        <v>18</v>
      </c>
      <c r="C305" t="s">
        <v>19</v>
      </c>
      <c r="D305" t="s">
        <v>27</v>
      </c>
      <c r="E305" t="s">
        <v>177</v>
      </c>
      <c r="F305" t="s">
        <v>31</v>
      </c>
      <c r="G305">
        <v>50.93</v>
      </c>
      <c r="H305">
        <v>8</v>
      </c>
      <c r="I305">
        <v>20.372</v>
      </c>
      <c r="J305">
        <v>427.81200000000001</v>
      </c>
      <c r="K305" s="1">
        <v>43546</v>
      </c>
      <c r="L305" s="2">
        <v>0.81666666666666665</v>
      </c>
      <c r="M305" t="s">
        <v>23</v>
      </c>
      <c r="N305">
        <v>407.44</v>
      </c>
      <c r="O305">
        <v>4.7619047620000003</v>
      </c>
      <c r="P305">
        <v>20.372</v>
      </c>
      <c r="Q305">
        <v>9.1999999999999993</v>
      </c>
      <c r="R305" s="3">
        <f t="shared" si="13"/>
        <v>43546.816666666666</v>
      </c>
      <c r="S305">
        <f t="shared" si="15"/>
        <v>15.999999999767169</v>
      </c>
      <c r="T305">
        <f t="shared" si="14"/>
        <v>16</v>
      </c>
    </row>
    <row r="306" spans="1:20">
      <c r="A306" t="s">
        <v>142</v>
      </c>
      <c r="B306" t="s">
        <v>18</v>
      </c>
      <c r="C306" t="s">
        <v>19</v>
      </c>
      <c r="D306" t="s">
        <v>20</v>
      </c>
      <c r="E306" t="s">
        <v>21</v>
      </c>
      <c r="F306" t="s">
        <v>35</v>
      </c>
      <c r="G306">
        <v>62.13</v>
      </c>
      <c r="H306">
        <v>6</v>
      </c>
      <c r="I306">
        <v>18.638999999999999</v>
      </c>
      <c r="J306">
        <v>391.41899999999998</v>
      </c>
      <c r="K306" s="1">
        <v>43546</v>
      </c>
      <c r="L306" s="2">
        <v>0.84652777777777777</v>
      </c>
      <c r="M306" t="s">
        <v>29</v>
      </c>
      <c r="N306">
        <v>372.78</v>
      </c>
      <c r="O306">
        <v>4.7619047620000003</v>
      </c>
      <c r="P306">
        <v>18.638999999999999</v>
      </c>
      <c r="Q306">
        <v>7.4</v>
      </c>
      <c r="R306" s="3">
        <f t="shared" si="13"/>
        <v>43546.84652777778</v>
      </c>
      <c r="S306">
        <f t="shared" si="15"/>
        <v>43.000000003958121</v>
      </c>
      <c r="T306">
        <f t="shared" si="14"/>
        <v>43</v>
      </c>
    </row>
    <row r="307" spans="1:20" hidden="1">
      <c r="A307" t="s">
        <v>233</v>
      </c>
      <c r="B307" t="s">
        <v>18</v>
      </c>
      <c r="C307" t="s">
        <v>19</v>
      </c>
      <c r="D307" t="s">
        <v>27</v>
      </c>
      <c r="E307" t="s">
        <v>21</v>
      </c>
      <c r="F307" t="s">
        <v>31</v>
      </c>
      <c r="G307">
        <v>25.29</v>
      </c>
      <c r="H307">
        <v>1</v>
      </c>
      <c r="I307">
        <v>1.2645</v>
      </c>
      <c r="J307">
        <v>26.554500000000001</v>
      </c>
      <c r="K307" s="1">
        <v>43547</v>
      </c>
      <c r="L307" s="2">
        <v>0.42569444444444443</v>
      </c>
      <c r="M307" t="s">
        <v>23</v>
      </c>
      <c r="N307">
        <v>25.29</v>
      </c>
      <c r="O307">
        <v>4.7619047620000003</v>
      </c>
      <c r="P307">
        <v>1.2645</v>
      </c>
      <c r="Q307">
        <v>6.1</v>
      </c>
      <c r="R307" s="3">
        <f t="shared" si="13"/>
        <v>43547.425694444442</v>
      </c>
      <c r="S307" t="str">
        <f t="shared" si="15"/>
        <v/>
      </c>
      <c r="T307" t="str">
        <f t="shared" si="14"/>
        <v/>
      </c>
    </row>
    <row r="308" spans="1:20">
      <c r="A308" t="s">
        <v>133</v>
      </c>
      <c r="B308" t="s">
        <v>18</v>
      </c>
      <c r="C308" t="s">
        <v>19</v>
      </c>
      <c r="D308" t="s">
        <v>20</v>
      </c>
      <c r="E308" t="s">
        <v>21</v>
      </c>
      <c r="F308" t="s">
        <v>43</v>
      </c>
      <c r="G308">
        <v>52.75</v>
      </c>
      <c r="H308">
        <v>3</v>
      </c>
      <c r="I308">
        <v>7.9124999999999996</v>
      </c>
      <c r="J308">
        <v>166.16249999999999</v>
      </c>
      <c r="K308" s="1">
        <v>43547</v>
      </c>
      <c r="L308" s="2">
        <v>0.42777777777777776</v>
      </c>
      <c r="M308" t="s">
        <v>23</v>
      </c>
      <c r="N308">
        <v>158.25</v>
      </c>
      <c r="O308">
        <v>4.7619047620000003</v>
      </c>
      <c r="P308">
        <v>7.9124999999999996</v>
      </c>
      <c r="Q308">
        <v>9.3000000000000007</v>
      </c>
      <c r="R308" s="3">
        <f t="shared" si="13"/>
        <v>43547.427777777775</v>
      </c>
      <c r="S308">
        <f t="shared" si="15"/>
        <v>2.9999999993015081</v>
      </c>
      <c r="T308">
        <f t="shared" si="14"/>
        <v>3</v>
      </c>
    </row>
    <row r="309" spans="1:20">
      <c r="A309" t="s">
        <v>218</v>
      </c>
      <c r="B309" t="s">
        <v>18</v>
      </c>
      <c r="C309" t="s">
        <v>19</v>
      </c>
      <c r="D309" t="s">
        <v>20</v>
      </c>
      <c r="E309" t="s">
        <v>177</v>
      </c>
      <c r="F309" t="s">
        <v>35</v>
      </c>
      <c r="G309">
        <v>15.5</v>
      </c>
      <c r="H309">
        <v>10</v>
      </c>
      <c r="I309">
        <v>7.75</v>
      </c>
      <c r="J309">
        <v>162.75</v>
      </c>
      <c r="K309" s="1">
        <v>43547</v>
      </c>
      <c r="L309" s="2">
        <v>0.4548611111111111</v>
      </c>
      <c r="M309" t="s">
        <v>23</v>
      </c>
      <c r="N309">
        <v>155</v>
      </c>
      <c r="O309">
        <v>4.7619047620000003</v>
      </c>
      <c r="P309">
        <v>7.75</v>
      </c>
      <c r="Q309">
        <v>8</v>
      </c>
      <c r="R309" s="3">
        <f t="shared" si="13"/>
        <v>43547.454861111109</v>
      </c>
      <c r="S309">
        <f t="shared" si="15"/>
        <v>39.000000001396984</v>
      </c>
      <c r="T309">
        <f t="shared" si="14"/>
        <v>39</v>
      </c>
    </row>
    <row r="310" spans="1:20">
      <c r="A310" t="s">
        <v>923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73.47</v>
      </c>
      <c r="H310">
        <v>10</v>
      </c>
      <c r="I310">
        <v>36.734999999999999</v>
      </c>
      <c r="J310">
        <v>771.43499999999995</v>
      </c>
      <c r="K310" s="1">
        <v>43547</v>
      </c>
      <c r="L310" s="2">
        <v>0.55138888888888893</v>
      </c>
      <c r="M310" t="s">
        <v>23</v>
      </c>
      <c r="N310">
        <v>734.7</v>
      </c>
      <c r="O310">
        <v>4.7619047620000003</v>
      </c>
      <c r="P310">
        <v>36.734999999999999</v>
      </c>
      <c r="Q310">
        <v>9.5</v>
      </c>
      <c r="R310" s="3">
        <f t="shared" si="13"/>
        <v>43547.551388888889</v>
      </c>
      <c r="S310">
        <f t="shared" si="15"/>
        <v>139.00000000256114</v>
      </c>
      <c r="T310">
        <f t="shared" si="14"/>
        <v>139</v>
      </c>
    </row>
    <row r="311" spans="1:20">
      <c r="A311" t="s">
        <v>523</v>
      </c>
      <c r="B311" t="s">
        <v>18</v>
      </c>
      <c r="C311" t="s">
        <v>19</v>
      </c>
      <c r="D311" t="s">
        <v>27</v>
      </c>
      <c r="E311" t="s">
        <v>177</v>
      </c>
      <c r="F311" t="s">
        <v>45</v>
      </c>
      <c r="G311">
        <v>37.15</v>
      </c>
      <c r="H311">
        <v>4</v>
      </c>
      <c r="I311">
        <v>7.43</v>
      </c>
      <c r="J311">
        <v>156.03</v>
      </c>
      <c r="K311" s="1">
        <v>43547</v>
      </c>
      <c r="L311" s="2">
        <v>0.79097222222222219</v>
      </c>
      <c r="M311" t="s">
        <v>23</v>
      </c>
      <c r="N311">
        <v>148.6</v>
      </c>
      <c r="O311">
        <v>4.7619047620000003</v>
      </c>
      <c r="P311">
        <v>7.43</v>
      </c>
      <c r="Q311">
        <v>8.3000000000000007</v>
      </c>
      <c r="R311" s="3">
        <f t="shared" si="13"/>
        <v>43547.790972222225</v>
      </c>
      <c r="S311">
        <f t="shared" si="15"/>
        <v>345.00000000349246</v>
      </c>
      <c r="T311">
        <f t="shared" si="14"/>
        <v>345</v>
      </c>
    </row>
    <row r="312" spans="1:20">
      <c r="A312" t="s">
        <v>214</v>
      </c>
      <c r="B312" t="s">
        <v>18</v>
      </c>
      <c r="C312" t="s">
        <v>19</v>
      </c>
      <c r="D312" t="s">
        <v>27</v>
      </c>
      <c r="E312" t="s">
        <v>177</v>
      </c>
      <c r="F312" t="s">
        <v>43</v>
      </c>
      <c r="G312">
        <v>73.88</v>
      </c>
      <c r="H312">
        <v>6</v>
      </c>
      <c r="I312">
        <v>22.164000000000001</v>
      </c>
      <c r="J312">
        <v>465.44400000000002</v>
      </c>
      <c r="K312" s="1">
        <v>43547</v>
      </c>
      <c r="L312" s="2">
        <v>0.80277777777777781</v>
      </c>
      <c r="M312" t="s">
        <v>23</v>
      </c>
      <c r="N312">
        <v>443.28</v>
      </c>
      <c r="O312">
        <v>4.7619047620000003</v>
      </c>
      <c r="P312">
        <v>22.164000000000001</v>
      </c>
      <c r="Q312">
        <v>4.4000000000000004</v>
      </c>
      <c r="R312" s="3">
        <f t="shared" si="13"/>
        <v>43547.802777777775</v>
      </c>
      <c r="S312">
        <f t="shared" si="15"/>
        <v>16.999999992549419</v>
      </c>
      <c r="T312">
        <f t="shared" si="14"/>
        <v>17</v>
      </c>
    </row>
    <row r="313" spans="1:20" hidden="1">
      <c r="A313" t="s">
        <v>403</v>
      </c>
      <c r="B313" t="s">
        <v>18</v>
      </c>
      <c r="C313" t="s">
        <v>19</v>
      </c>
      <c r="D313" t="s">
        <v>20</v>
      </c>
      <c r="E313" t="s">
        <v>177</v>
      </c>
      <c r="F313" t="s">
        <v>31</v>
      </c>
      <c r="G313">
        <v>65.94</v>
      </c>
      <c r="H313">
        <v>4</v>
      </c>
      <c r="I313">
        <v>13.188000000000001</v>
      </c>
      <c r="J313">
        <v>276.94799999999998</v>
      </c>
      <c r="K313" s="1">
        <v>43548</v>
      </c>
      <c r="L313" s="2">
        <v>0.43680555555555556</v>
      </c>
      <c r="M313" t="s">
        <v>29</v>
      </c>
      <c r="N313">
        <v>263.76</v>
      </c>
      <c r="O313">
        <v>4.7619047620000003</v>
      </c>
      <c r="P313">
        <v>13.188000000000001</v>
      </c>
      <c r="Q313">
        <v>6</v>
      </c>
      <c r="R313" s="3">
        <f t="shared" si="13"/>
        <v>43548.436805555553</v>
      </c>
      <c r="S313" t="str">
        <f t="shared" si="15"/>
        <v/>
      </c>
      <c r="T313" t="str">
        <f t="shared" si="14"/>
        <v/>
      </c>
    </row>
    <row r="314" spans="1:20">
      <c r="A314" t="s">
        <v>635</v>
      </c>
      <c r="B314" t="s">
        <v>18</v>
      </c>
      <c r="C314" t="s">
        <v>19</v>
      </c>
      <c r="D314" t="s">
        <v>20</v>
      </c>
      <c r="E314" t="s">
        <v>21</v>
      </c>
      <c r="F314" t="s">
        <v>31</v>
      </c>
      <c r="G314">
        <v>70.319999999999993</v>
      </c>
      <c r="H314">
        <v>2</v>
      </c>
      <c r="I314">
        <v>7.032</v>
      </c>
      <c r="J314">
        <v>147.672</v>
      </c>
      <c r="K314" s="1">
        <v>43548</v>
      </c>
      <c r="L314" s="2">
        <v>0.59861111111111109</v>
      </c>
      <c r="M314" t="s">
        <v>23</v>
      </c>
      <c r="N314">
        <v>140.63999999999999</v>
      </c>
      <c r="O314">
        <v>4.7619047620000003</v>
      </c>
      <c r="P314">
        <v>7.032</v>
      </c>
      <c r="Q314">
        <v>9.6</v>
      </c>
      <c r="R314" s="3">
        <f t="shared" si="13"/>
        <v>43548.598611111112</v>
      </c>
      <c r="S314">
        <f t="shared" si="15"/>
        <v>233.00000000512227</v>
      </c>
      <c r="T314">
        <f t="shared" si="14"/>
        <v>233</v>
      </c>
    </row>
    <row r="315" spans="1:20" hidden="1">
      <c r="A315" t="s">
        <v>365</v>
      </c>
      <c r="B315" t="s">
        <v>18</v>
      </c>
      <c r="C315" t="s">
        <v>19</v>
      </c>
      <c r="D315" t="s">
        <v>20</v>
      </c>
      <c r="E315" t="s">
        <v>177</v>
      </c>
      <c r="F315" t="s">
        <v>28</v>
      </c>
      <c r="G315">
        <v>36.36</v>
      </c>
      <c r="H315">
        <v>4</v>
      </c>
      <c r="I315">
        <v>7.2720000000000002</v>
      </c>
      <c r="J315">
        <v>152.71199999999999</v>
      </c>
      <c r="K315" s="1">
        <v>43549</v>
      </c>
      <c r="L315" s="2">
        <v>0.54652777777777772</v>
      </c>
      <c r="M315" t="s">
        <v>29</v>
      </c>
      <c r="N315">
        <v>145.44</v>
      </c>
      <c r="O315">
        <v>4.7619047620000003</v>
      </c>
      <c r="P315">
        <v>7.2720000000000002</v>
      </c>
      <c r="Q315">
        <v>7.6</v>
      </c>
      <c r="R315" s="3">
        <f t="shared" si="13"/>
        <v>43549.546527777777</v>
      </c>
      <c r="S315" t="str">
        <f t="shared" si="15"/>
        <v/>
      </c>
      <c r="T315" t="str">
        <f t="shared" si="14"/>
        <v/>
      </c>
    </row>
    <row r="316" spans="1:20">
      <c r="A316" t="s">
        <v>795</v>
      </c>
      <c r="B316" t="s">
        <v>18</v>
      </c>
      <c r="C316" t="s">
        <v>19</v>
      </c>
      <c r="D316" t="s">
        <v>27</v>
      </c>
      <c r="E316" t="s">
        <v>21</v>
      </c>
      <c r="F316" t="s">
        <v>43</v>
      </c>
      <c r="G316">
        <v>55.39</v>
      </c>
      <c r="H316">
        <v>4</v>
      </c>
      <c r="I316">
        <v>11.077999999999999</v>
      </c>
      <c r="J316">
        <v>232.63800000000001</v>
      </c>
      <c r="K316" s="1">
        <v>43549</v>
      </c>
      <c r="L316" s="2">
        <v>0.6381944444444444</v>
      </c>
      <c r="M316" t="s">
        <v>23</v>
      </c>
      <c r="N316">
        <v>221.56</v>
      </c>
      <c r="O316">
        <v>4.7619047620000003</v>
      </c>
      <c r="P316">
        <v>11.077999999999999</v>
      </c>
      <c r="Q316">
        <v>8</v>
      </c>
      <c r="R316" s="3">
        <f t="shared" si="13"/>
        <v>43549.638194444444</v>
      </c>
      <c r="S316">
        <f t="shared" si="15"/>
        <v>132.00000000069849</v>
      </c>
      <c r="T316">
        <f t="shared" si="14"/>
        <v>132</v>
      </c>
    </row>
    <row r="317" spans="1:20">
      <c r="A317" t="s">
        <v>1004</v>
      </c>
      <c r="B317" t="s">
        <v>18</v>
      </c>
      <c r="C317" t="s">
        <v>19</v>
      </c>
      <c r="D317" t="s">
        <v>27</v>
      </c>
      <c r="E317" t="s">
        <v>21</v>
      </c>
      <c r="F317" t="s">
        <v>22</v>
      </c>
      <c r="G317">
        <v>15.8</v>
      </c>
      <c r="H317">
        <v>3</v>
      </c>
      <c r="I317">
        <v>2.37</v>
      </c>
      <c r="J317">
        <v>49.77</v>
      </c>
      <c r="K317" s="1">
        <v>43549</v>
      </c>
      <c r="L317" s="2">
        <v>0.75138888888888888</v>
      </c>
      <c r="M317" t="s">
        <v>29</v>
      </c>
      <c r="N317">
        <v>47.4</v>
      </c>
      <c r="O317">
        <v>4.7619047620000003</v>
      </c>
      <c r="P317">
        <v>2.37</v>
      </c>
      <c r="Q317">
        <v>9.5</v>
      </c>
      <c r="R317" s="3">
        <f t="shared" si="13"/>
        <v>43549.751388888886</v>
      </c>
      <c r="S317">
        <f t="shared" si="15"/>
        <v>162.9999999969732</v>
      </c>
      <c r="T317">
        <f t="shared" si="14"/>
        <v>163</v>
      </c>
    </row>
    <row r="318" spans="1:20">
      <c r="A318" t="s">
        <v>590</v>
      </c>
      <c r="B318" t="s">
        <v>18</v>
      </c>
      <c r="C318" t="s">
        <v>19</v>
      </c>
      <c r="D318" t="s">
        <v>20</v>
      </c>
      <c r="E318" t="s">
        <v>177</v>
      </c>
      <c r="F318" t="s">
        <v>28</v>
      </c>
      <c r="G318">
        <v>19.32</v>
      </c>
      <c r="H318">
        <v>7</v>
      </c>
      <c r="I318">
        <v>6.7619999999999996</v>
      </c>
      <c r="J318">
        <v>142.00200000000001</v>
      </c>
      <c r="K318" s="1">
        <v>43549</v>
      </c>
      <c r="L318" s="2">
        <v>0.78541666666666665</v>
      </c>
      <c r="M318" t="s">
        <v>29</v>
      </c>
      <c r="N318">
        <v>135.24</v>
      </c>
      <c r="O318">
        <v>4.7619047620000003</v>
      </c>
      <c r="P318">
        <v>6.7619999999999996</v>
      </c>
      <c r="Q318">
        <v>6.9</v>
      </c>
      <c r="R318" s="3">
        <f t="shared" si="13"/>
        <v>43549.785416666666</v>
      </c>
      <c r="S318">
        <f t="shared" si="15"/>
        <v>49.000000002561137</v>
      </c>
      <c r="T318">
        <f t="shared" si="14"/>
        <v>49</v>
      </c>
    </row>
    <row r="319" spans="1:20" hidden="1">
      <c r="A319" t="s">
        <v>799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10.69</v>
      </c>
      <c r="H319">
        <v>5</v>
      </c>
      <c r="I319">
        <v>2.6724999999999999</v>
      </c>
      <c r="J319">
        <v>56.122500000000002</v>
      </c>
      <c r="K319" s="1">
        <v>43550</v>
      </c>
      <c r="L319" s="2">
        <v>0.46319444444444446</v>
      </c>
      <c r="M319" t="s">
        <v>23</v>
      </c>
      <c r="N319">
        <v>53.45</v>
      </c>
      <c r="O319">
        <v>4.7619047620000003</v>
      </c>
      <c r="P319">
        <v>2.6724999999999999</v>
      </c>
      <c r="Q319">
        <v>7.6</v>
      </c>
      <c r="R319" s="3">
        <f t="shared" si="13"/>
        <v>43550.463194444441</v>
      </c>
      <c r="S319" t="str">
        <f t="shared" si="15"/>
        <v/>
      </c>
      <c r="T319" t="str">
        <f t="shared" si="14"/>
        <v/>
      </c>
    </row>
    <row r="320" spans="1:20">
      <c r="A320" t="s">
        <v>614</v>
      </c>
      <c r="B320" t="s">
        <v>18</v>
      </c>
      <c r="C320" t="s">
        <v>19</v>
      </c>
      <c r="D320" t="s">
        <v>27</v>
      </c>
      <c r="E320" t="s">
        <v>21</v>
      </c>
      <c r="F320" t="s">
        <v>22</v>
      </c>
      <c r="G320">
        <v>64.27</v>
      </c>
      <c r="H320">
        <v>4</v>
      </c>
      <c r="I320">
        <v>12.853999999999999</v>
      </c>
      <c r="J320">
        <v>269.93400000000003</v>
      </c>
      <c r="K320" s="1">
        <v>43550</v>
      </c>
      <c r="L320" s="2">
        <v>0.57916666666666672</v>
      </c>
      <c r="M320" t="s">
        <v>29</v>
      </c>
      <c r="N320">
        <v>257.08</v>
      </c>
      <c r="O320">
        <v>4.7619047620000003</v>
      </c>
      <c r="P320">
        <v>12.853999999999999</v>
      </c>
      <c r="Q320">
        <v>7.7</v>
      </c>
      <c r="R320" s="3">
        <f t="shared" si="13"/>
        <v>43550.57916666667</v>
      </c>
      <c r="S320">
        <f t="shared" si="15"/>
        <v>167.00000001001172</v>
      </c>
      <c r="T320">
        <f t="shared" si="14"/>
        <v>167</v>
      </c>
    </row>
    <row r="321" spans="1:20">
      <c r="A321" t="s">
        <v>863</v>
      </c>
      <c r="B321" t="s">
        <v>18</v>
      </c>
      <c r="C321" t="s">
        <v>19</v>
      </c>
      <c r="D321" t="s">
        <v>20</v>
      </c>
      <c r="E321" t="s">
        <v>177</v>
      </c>
      <c r="F321" t="s">
        <v>45</v>
      </c>
      <c r="G321">
        <v>41.28</v>
      </c>
      <c r="H321">
        <v>3</v>
      </c>
      <c r="I321">
        <v>6.1920000000000002</v>
      </c>
      <c r="J321">
        <v>130.03200000000001</v>
      </c>
      <c r="K321" s="1">
        <v>43550</v>
      </c>
      <c r="L321" s="2">
        <v>0.77569444444444446</v>
      </c>
      <c r="M321" t="s">
        <v>32</v>
      </c>
      <c r="N321">
        <v>123.84</v>
      </c>
      <c r="O321">
        <v>4.7619047620000003</v>
      </c>
      <c r="P321">
        <v>6.1920000000000002</v>
      </c>
      <c r="Q321">
        <v>8.5</v>
      </c>
      <c r="R321" s="3">
        <f t="shared" si="13"/>
        <v>43550.775694444441</v>
      </c>
      <c r="S321">
        <f t="shared" si="15"/>
        <v>282.99999998998828</v>
      </c>
      <c r="T321">
        <f t="shared" si="14"/>
        <v>283</v>
      </c>
    </row>
    <row r="322" spans="1:20">
      <c r="A322" t="s">
        <v>871</v>
      </c>
      <c r="B322" t="s">
        <v>18</v>
      </c>
      <c r="C322" t="s">
        <v>19</v>
      </c>
      <c r="D322" t="s">
        <v>27</v>
      </c>
      <c r="E322" t="s">
        <v>177</v>
      </c>
      <c r="F322" t="s">
        <v>45</v>
      </c>
      <c r="G322">
        <v>52.38</v>
      </c>
      <c r="H322">
        <v>1</v>
      </c>
      <c r="I322">
        <v>2.6190000000000002</v>
      </c>
      <c r="J322">
        <v>54.999000000000002</v>
      </c>
      <c r="K322" s="1">
        <v>43550</v>
      </c>
      <c r="L322" s="2">
        <v>0.82222222222222219</v>
      </c>
      <c r="M322" t="s">
        <v>29</v>
      </c>
      <c r="N322">
        <v>52.38</v>
      </c>
      <c r="O322">
        <v>4.7619047620000003</v>
      </c>
      <c r="P322">
        <v>2.6190000000000002</v>
      </c>
      <c r="Q322">
        <v>5.8</v>
      </c>
      <c r="R322" s="3">
        <f t="shared" ref="R322:R385" si="16">K322+L322</f>
        <v>43550.822222222225</v>
      </c>
      <c r="S322">
        <f t="shared" si="15"/>
        <v>67.000000008847564</v>
      </c>
      <c r="T322">
        <f t="shared" si="14"/>
        <v>67</v>
      </c>
    </row>
    <row r="323" spans="1:20">
      <c r="A323" t="s">
        <v>341</v>
      </c>
      <c r="B323" t="s">
        <v>18</v>
      </c>
      <c r="C323" t="s">
        <v>19</v>
      </c>
      <c r="D323" t="s">
        <v>20</v>
      </c>
      <c r="E323" t="s">
        <v>177</v>
      </c>
      <c r="F323" t="s">
        <v>28</v>
      </c>
      <c r="G323">
        <v>72.2</v>
      </c>
      <c r="H323">
        <v>7</v>
      </c>
      <c r="I323">
        <v>25.27</v>
      </c>
      <c r="J323">
        <v>530.66999999999996</v>
      </c>
      <c r="K323" s="1">
        <v>43550</v>
      </c>
      <c r="L323" s="2">
        <v>0.84305555555555556</v>
      </c>
      <c r="M323" t="s">
        <v>23</v>
      </c>
      <c r="N323">
        <v>505.4</v>
      </c>
      <c r="O323">
        <v>4.7619047620000003</v>
      </c>
      <c r="P323">
        <v>25.27</v>
      </c>
      <c r="Q323">
        <v>4.3</v>
      </c>
      <c r="R323" s="3">
        <f t="shared" si="16"/>
        <v>43550.843055555553</v>
      </c>
      <c r="S323">
        <f t="shared" si="15"/>
        <v>29.999999993015081</v>
      </c>
      <c r="T323">
        <f t="shared" ref="T323:T386" si="17">IF(S323="","",ROUND(S323,2))</f>
        <v>30</v>
      </c>
    </row>
    <row r="324" spans="1:20">
      <c r="A324" t="s">
        <v>938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27.73</v>
      </c>
      <c r="H324">
        <v>5</v>
      </c>
      <c r="I324">
        <v>6.9325000000000001</v>
      </c>
      <c r="J324">
        <v>145.58250000000001</v>
      </c>
      <c r="K324" s="1">
        <v>43550</v>
      </c>
      <c r="L324" s="2">
        <v>0.84791666666666665</v>
      </c>
      <c r="M324" t="s">
        <v>32</v>
      </c>
      <c r="N324">
        <v>138.65</v>
      </c>
      <c r="O324">
        <v>4.7619047620000003</v>
      </c>
      <c r="P324">
        <v>6.9325000000000001</v>
      </c>
      <c r="Q324">
        <v>4.2</v>
      </c>
      <c r="R324" s="3">
        <f t="shared" si="16"/>
        <v>43550.847916666666</v>
      </c>
      <c r="S324">
        <f t="shared" si="15"/>
        <v>7.0000000018626451</v>
      </c>
      <c r="T324">
        <f t="shared" si="17"/>
        <v>7</v>
      </c>
    </row>
    <row r="325" spans="1:20" hidden="1">
      <c r="A325" t="s">
        <v>91</v>
      </c>
      <c r="B325" t="s">
        <v>18</v>
      </c>
      <c r="C325" t="s">
        <v>19</v>
      </c>
      <c r="D325" t="s">
        <v>20</v>
      </c>
      <c r="E325" t="s">
        <v>21</v>
      </c>
      <c r="F325" t="s">
        <v>31</v>
      </c>
      <c r="G325">
        <v>44.34</v>
      </c>
      <c r="H325">
        <v>2</v>
      </c>
      <c r="I325">
        <v>4.4340000000000002</v>
      </c>
      <c r="J325">
        <v>93.114000000000004</v>
      </c>
      <c r="K325" s="1">
        <v>43551</v>
      </c>
      <c r="L325" s="2">
        <v>0.47638888888888886</v>
      </c>
      <c r="M325" t="s">
        <v>29</v>
      </c>
      <c r="N325">
        <v>88.68</v>
      </c>
      <c r="O325">
        <v>4.7619047620000003</v>
      </c>
      <c r="P325">
        <v>4.4340000000000002</v>
      </c>
      <c r="Q325">
        <v>5.8</v>
      </c>
      <c r="R325" s="3">
        <f t="shared" si="16"/>
        <v>43551.476388888892</v>
      </c>
      <c r="S325" t="str">
        <f t="shared" si="15"/>
        <v/>
      </c>
      <c r="T325" t="str">
        <f t="shared" si="17"/>
        <v/>
      </c>
    </row>
    <row r="326" spans="1:20">
      <c r="A326" t="s">
        <v>185</v>
      </c>
      <c r="B326" t="s">
        <v>18</v>
      </c>
      <c r="C326" t="s">
        <v>19</v>
      </c>
      <c r="D326" t="s">
        <v>27</v>
      </c>
      <c r="E326" t="s">
        <v>177</v>
      </c>
      <c r="F326" t="s">
        <v>22</v>
      </c>
      <c r="G326">
        <v>32.46</v>
      </c>
      <c r="H326">
        <v>8</v>
      </c>
      <c r="I326">
        <v>12.984</v>
      </c>
      <c r="J326">
        <v>272.66399999999999</v>
      </c>
      <c r="K326" s="1">
        <v>43551</v>
      </c>
      <c r="L326" s="2">
        <v>0.57499999999999996</v>
      </c>
      <c r="M326" t="s">
        <v>32</v>
      </c>
      <c r="N326">
        <v>259.68</v>
      </c>
      <c r="O326">
        <v>4.7619047620000003</v>
      </c>
      <c r="P326">
        <v>12.984</v>
      </c>
      <c r="Q326">
        <v>4.9000000000000004</v>
      </c>
      <c r="R326" s="3">
        <f t="shared" si="16"/>
        <v>43551.574999999997</v>
      </c>
      <c r="S326">
        <f t="shared" si="15"/>
        <v>141.99999999138527</v>
      </c>
      <c r="T326">
        <f t="shared" si="17"/>
        <v>142</v>
      </c>
    </row>
    <row r="327" spans="1:20">
      <c r="A327" t="s">
        <v>622</v>
      </c>
      <c r="B327" t="s">
        <v>18</v>
      </c>
      <c r="C327" t="s">
        <v>19</v>
      </c>
      <c r="D327" t="s">
        <v>27</v>
      </c>
      <c r="E327" t="s">
        <v>21</v>
      </c>
      <c r="F327" t="s">
        <v>43</v>
      </c>
      <c r="G327">
        <v>52.34</v>
      </c>
      <c r="H327">
        <v>3</v>
      </c>
      <c r="I327">
        <v>7.851</v>
      </c>
      <c r="J327">
        <v>164.87100000000001</v>
      </c>
      <c r="K327" s="1">
        <v>43551</v>
      </c>
      <c r="L327" s="2">
        <v>0.5854166666666667</v>
      </c>
      <c r="M327" t="s">
        <v>29</v>
      </c>
      <c r="N327">
        <v>157.02000000000001</v>
      </c>
      <c r="O327">
        <v>4.7619047620000003</v>
      </c>
      <c r="P327">
        <v>7.851</v>
      </c>
      <c r="Q327">
        <v>9.1999999999999993</v>
      </c>
      <c r="R327" s="3">
        <f t="shared" si="16"/>
        <v>43551.585416666669</v>
      </c>
      <c r="S327">
        <f t="shared" si="15"/>
        <v>15.000000006984919</v>
      </c>
      <c r="T327">
        <f t="shared" si="17"/>
        <v>15</v>
      </c>
    </row>
    <row r="328" spans="1:20">
      <c r="A328" t="s">
        <v>944</v>
      </c>
      <c r="B328" t="s">
        <v>18</v>
      </c>
      <c r="C328" t="s">
        <v>19</v>
      </c>
      <c r="D328" t="s">
        <v>20</v>
      </c>
      <c r="E328" t="s">
        <v>21</v>
      </c>
      <c r="F328" t="s">
        <v>43</v>
      </c>
      <c r="G328">
        <v>79.540000000000006</v>
      </c>
      <c r="H328">
        <v>2</v>
      </c>
      <c r="I328">
        <v>7.9539999999999997</v>
      </c>
      <c r="J328">
        <v>167.03399999999999</v>
      </c>
      <c r="K328" s="1">
        <v>43551</v>
      </c>
      <c r="L328" s="2">
        <v>0.6875</v>
      </c>
      <c r="M328" t="s">
        <v>23</v>
      </c>
      <c r="N328">
        <v>159.08000000000001</v>
      </c>
      <c r="O328">
        <v>4.7619047620000003</v>
      </c>
      <c r="P328">
        <v>7.9539999999999997</v>
      </c>
      <c r="Q328">
        <v>6.2</v>
      </c>
      <c r="R328" s="3">
        <f t="shared" si="16"/>
        <v>43551.6875</v>
      </c>
      <c r="S328">
        <f t="shared" si="15"/>
        <v>146.99999999720603</v>
      </c>
      <c r="T328">
        <f t="shared" si="17"/>
        <v>147</v>
      </c>
    </row>
    <row r="329" spans="1:20">
      <c r="A329" t="s">
        <v>122</v>
      </c>
      <c r="B329" t="s">
        <v>18</v>
      </c>
      <c r="C329" t="s">
        <v>19</v>
      </c>
      <c r="D329" t="s">
        <v>20</v>
      </c>
      <c r="E329" t="s">
        <v>21</v>
      </c>
      <c r="F329" t="s">
        <v>43</v>
      </c>
      <c r="G329">
        <v>49.38</v>
      </c>
      <c r="H329">
        <v>7</v>
      </c>
      <c r="I329">
        <v>17.283000000000001</v>
      </c>
      <c r="J329">
        <v>362.94299999999998</v>
      </c>
      <c r="K329" s="1">
        <v>43551</v>
      </c>
      <c r="L329" s="2">
        <v>0.85763888888888884</v>
      </c>
      <c r="M329" t="s">
        <v>32</v>
      </c>
      <c r="N329">
        <v>345.66</v>
      </c>
      <c r="O329">
        <v>4.7619047620000003</v>
      </c>
      <c r="P329">
        <v>17.283000000000001</v>
      </c>
      <c r="Q329">
        <v>7.3</v>
      </c>
      <c r="R329" s="3">
        <f t="shared" si="16"/>
        <v>43551.857638888891</v>
      </c>
      <c r="S329">
        <f t="shared" si="15"/>
        <v>245.00000000232831</v>
      </c>
      <c r="T329">
        <f t="shared" si="17"/>
        <v>245</v>
      </c>
    </row>
    <row r="330" spans="1:20" hidden="1">
      <c r="A330" t="s">
        <v>656</v>
      </c>
      <c r="B330" t="s">
        <v>18</v>
      </c>
      <c r="C330" t="s">
        <v>19</v>
      </c>
      <c r="D330" t="s">
        <v>27</v>
      </c>
      <c r="E330" t="s">
        <v>21</v>
      </c>
      <c r="F330" t="s">
        <v>43</v>
      </c>
      <c r="G330">
        <v>71.680000000000007</v>
      </c>
      <c r="H330">
        <v>3</v>
      </c>
      <c r="I330">
        <v>10.752000000000001</v>
      </c>
      <c r="J330">
        <v>225.792</v>
      </c>
      <c r="K330" s="1">
        <v>43552</v>
      </c>
      <c r="L330" s="2">
        <v>0.64583333333333337</v>
      </c>
      <c r="M330" t="s">
        <v>32</v>
      </c>
      <c r="N330">
        <v>215.04</v>
      </c>
      <c r="O330">
        <v>4.7619047620000003</v>
      </c>
      <c r="P330">
        <v>10.752000000000001</v>
      </c>
      <c r="Q330">
        <v>9.1999999999999993</v>
      </c>
      <c r="R330" s="3">
        <f t="shared" si="16"/>
        <v>43552.645833333336</v>
      </c>
      <c r="S330" t="str">
        <f t="shared" si="15"/>
        <v/>
      </c>
      <c r="T330" t="str">
        <f t="shared" si="17"/>
        <v/>
      </c>
    </row>
    <row r="331" spans="1:20">
      <c r="A331" t="s">
        <v>500</v>
      </c>
      <c r="B331" t="s">
        <v>18</v>
      </c>
      <c r="C331" t="s">
        <v>19</v>
      </c>
      <c r="D331" t="s">
        <v>20</v>
      </c>
      <c r="E331" t="s">
        <v>177</v>
      </c>
      <c r="F331" t="s">
        <v>43</v>
      </c>
      <c r="G331">
        <v>51.34</v>
      </c>
      <c r="H331">
        <v>5</v>
      </c>
      <c r="I331">
        <v>12.835000000000001</v>
      </c>
      <c r="J331">
        <v>269.53500000000003</v>
      </c>
      <c r="K331" s="1">
        <v>43552</v>
      </c>
      <c r="L331" s="2">
        <v>0.64652777777777781</v>
      </c>
      <c r="M331" t="s">
        <v>32</v>
      </c>
      <c r="N331">
        <v>256.7</v>
      </c>
      <c r="O331">
        <v>4.7619047620000003</v>
      </c>
      <c r="P331">
        <v>12.835000000000001</v>
      </c>
      <c r="Q331">
        <v>9.1</v>
      </c>
      <c r="R331" s="3">
        <f t="shared" si="16"/>
        <v>43552.646527777775</v>
      </c>
      <c r="S331">
        <f t="shared" si="15"/>
        <v>0.99999999278225005</v>
      </c>
      <c r="T331">
        <f t="shared" si="17"/>
        <v>1</v>
      </c>
    </row>
    <row r="332" spans="1:20">
      <c r="A332" t="s">
        <v>752</v>
      </c>
      <c r="B332" t="s">
        <v>18</v>
      </c>
      <c r="C332" t="s">
        <v>19</v>
      </c>
      <c r="D332" t="s">
        <v>20</v>
      </c>
      <c r="E332" t="s">
        <v>21</v>
      </c>
      <c r="F332" t="s">
        <v>45</v>
      </c>
      <c r="G332">
        <v>71.459999999999994</v>
      </c>
      <c r="H332">
        <v>7</v>
      </c>
      <c r="I332">
        <v>25.010999999999999</v>
      </c>
      <c r="J332">
        <v>525.23099999999999</v>
      </c>
      <c r="K332" s="1">
        <v>43552</v>
      </c>
      <c r="L332" s="2">
        <v>0.67083333333333328</v>
      </c>
      <c r="M332" t="s">
        <v>23</v>
      </c>
      <c r="N332">
        <v>500.22</v>
      </c>
      <c r="O332">
        <v>4.7619047620000003</v>
      </c>
      <c r="P332">
        <v>25.010999999999999</v>
      </c>
      <c r="Q332">
        <v>4.5</v>
      </c>
      <c r="R332" s="3">
        <f t="shared" si="16"/>
        <v>43552.67083333333</v>
      </c>
      <c r="S332">
        <f t="shared" si="15"/>
        <v>34.999999998835847</v>
      </c>
      <c r="T332">
        <f t="shared" si="17"/>
        <v>35</v>
      </c>
    </row>
    <row r="333" spans="1:20">
      <c r="A333" t="s">
        <v>138</v>
      </c>
      <c r="B333" t="s">
        <v>18</v>
      </c>
      <c r="C333" t="s">
        <v>19</v>
      </c>
      <c r="D333" t="s">
        <v>20</v>
      </c>
      <c r="E333" t="s">
        <v>21</v>
      </c>
      <c r="F333" t="s">
        <v>43</v>
      </c>
      <c r="G333">
        <v>58.26</v>
      </c>
      <c r="H333">
        <v>6</v>
      </c>
      <c r="I333">
        <v>17.478000000000002</v>
      </c>
      <c r="J333">
        <v>367.03800000000001</v>
      </c>
      <c r="K333" s="1">
        <v>43552</v>
      </c>
      <c r="L333" s="2">
        <v>0.69722222222222219</v>
      </c>
      <c r="M333" t="s">
        <v>29</v>
      </c>
      <c r="N333">
        <v>349.56</v>
      </c>
      <c r="O333">
        <v>4.7619047620000003</v>
      </c>
      <c r="P333">
        <v>17.478000000000002</v>
      </c>
      <c r="Q333">
        <v>9.9</v>
      </c>
      <c r="R333" s="3">
        <f t="shared" si="16"/>
        <v>43552.697222222225</v>
      </c>
      <c r="S333">
        <f t="shared" si="15"/>
        <v>38.000000008614734</v>
      </c>
      <c r="T333">
        <f t="shared" si="17"/>
        <v>38</v>
      </c>
    </row>
    <row r="334" spans="1:20">
      <c r="A334" t="s">
        <v>384</v>
      </c>
      <c r="B334" t="s">
        <v>18</v>
      </c>
      <c r="C334" t="s">
        <v>19</v>
      </c>
      <c r="D334" t="s">
        <v>27</v>
      </c>
      <c r="E334" t="s">
        <v>177</v>
      </c>
      <c r="F334" t="s">
        <v>28</v>
      </c>
      <c r="G334">
        <v>26.02</v>
      </c>
      <c r="H334">
        <v>7</v>
      </c>
      <c r="I334">
        <v>9.1069999999999993</v>
      </c>
      <c r="J334">
        <v>191.24700000000001</v>
      </c>
      <c r="K334" s="1">
        <v>43552</v>
      </c>
      <c r="L334" s="2">
        <v>0.73472222222222228</v>
      </c>
      <c r="M334" t="s">
        <v>29</v>
      </c>
      <c r="N334">
        <v>182.14</v>
      </c>
      <c r="O334">
        <v>4.7619047620000003</v>
      </c>
      <c r="P334">
        <v>9.1069999999999993</v>
      </c>
      <c r="Q334">
        <v>5.0999999999999996</v>
      </c>
      <c r="R334" s="3">
        <f t="shared" si="16"/>
        <v>43552.734722222223</v>
      </c>
      <c r="S334">
        <f t="shared" si="15"/>
        <v>53.999999997904524</v>
      </c>
      <c r="T334">
        <f t="shared" si="17"/>
        <v>54</v>
      </c>
    </row>
    <row r="335" spans="1:20">
      <c r="A335" t="s">
        <v>980</v>
      </c>
      <c r="B335" t="s">
        <v>18</v>
      </c>
      <c r="C335" t="s">
        <v>19</v>
      </c>
      <c r="D335" t="s">
        <v>20</v>
      </c>
      <c r="E335" t="s">
        <v>177</v>
      </c>
      <c r="F335" t="s">
        <v>22</v>
      </c>
      <c r="G335">
        <v>10.08</v>
      </c>
      <c r="H335">
        <v>7</v>
      </c>
      <c r="I335">
        <v>3.528</v>
      </c>
      <c r="J335">
        <v>74.087999999999994</v>
      </c>
      <c r="K335" s="1">
        <v>43552</v>
      </c>
      <c r="L335" s="2">
        <v>0.84305555555555556</v>
      </c>
      <c r="M335" t="s">
        <v>29</v>
      </c>
      <c r="N335">
        <v>70.56</v>
      </c>
      <c r="O335">
        <v>4.7619047620000003</v>
      </c>
      <c r="P335">
        <v>3.528</v>
      </c>
      <c r="Q335">
        <v>4.2</v>
      </c>
      <c r="R335" s="3">
        <f t="shared" si="16"/>
        <v>43552.843055555553</v>
      </c>
      <c r="S335">
        <f t="shared" si="15"/>
        <v>155.99999999511056</v>
      </c>
      <c r="T335">
        <f t="shared" si="17"/>
        <v>156</v>
      </c>
    </row>
    <row r="336" spans="1:20" hidden="1">
      <c r="A336" t="s">
        <v>595</v>
      </c>
      <c r="B336" t="s">
        <v>18</v>
      </c>
      <c r="C336" t="s">
        <v>19</v>
      </c>
      <c r="D336" t="s">
        <v>20</v>
      </c>
      <c r="E336" t="s">
        <v>21</v>
      </c>
      <c r="F336" t="s">
        <v>31</v>
      </c>
      <c r="G336">
        <v>72.42</v>
      </c>
      <c r="H336">
        <v>3</v>
      </c>
      <c r="I336">
        <v>10.863</v>
      </c>
      <c r="J336">
        <v>228.12299999999999</v>
      </c>
      <c r="K336" s="1">
        <v>43553</v>
      </c>
      <c r="L336" s="2">
        <v>0.70416666666666672</v>
      </c>
      <c r="M336" t="s">
        <v>23</v>
      </c>
      <c r="N336">
        <v>217.26</v>
      </c>
      <c r="O336">
        <v>4.7619047620000003</v>
      </c>
      <c r="P336">
        <v>10.863</v>
      </c>
      <c r="Q336">
        <v>8.1999999999999993</v>
      </c>
      <c r="R336" s="3">
        <f t="shared" si="16"/>
        <v>43553.70416666667</v>
      </c>
      <c r="S336" t="str">
        <f t="shared" si="15"/>
        <v/>
      </c>
      <c r="T336" t="str">
        <f t="shared" si="17"/>
        <v/>
      </c>
    </row>
    <row r="337" spans="1:20">
      <c r="A337" t="s">
        <v>49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>
        <v>71.38</v>
      </c>
      <c r="H337">
        <v>10</v>
      </c>
      <c r="I337">
        <v>35.69</v>
      </c>
      <c r="J337">
        <v>749.49</v>
      </c>
      <c r="K337" s="1">
        <v>43553</v>
      </c>
      <c r="L337" s="2">
        <v>0.80625000000000002</v>
      </c>
      <c r="M337" t="s">
        <v>29</v>
      </c>
      <c r="N337">
        <v>713.8</v>
      </c>
      <c r="O337">
        <v>4.7619047620000003</v>
      </c>
      <c r="P337">
        <v>35.69</v>
      </c>
      <c r="Q337">
        <v>5.7</v>
      </c>
      <c r="R337" s="3">
        <f t="shared" si="16"/>
        <v>43553.806250000001</v>
      </c>
      <c r="S337">
        <f t="shared" ref="S337:S400" si="18">IF(K337=K336, (R337-R336)*1440, "")</f>
        <v>146.99999999720603</v>
      </c>
      <c r="T337">
        <f t="shared" si="17"/>
        <v>147</v>
      </c>
    </row>
    <row r="338" spans="1:20" hidden="1">
      <c r="A338" t="s">
        <v>973</v>
      </c>
      <c r="B338" t="s">
        <v>18</v>
      </c>
      <c r="C338" t="s">
        <v>19</v>
      </c>
      <c r="D338" t="s">
        <v>27</v>
      </c>
      <c r="E338" t="s">
        <v>21</v>
      </c>
      <c r="F338" t="s">
        <v>35</v>
      </c>
      <c r="G338">
        <v>89.48</v>
      </c>
      <c r="H338">
        <v>5</v>
      </c>
      <c r="I338">
        <v>22.37</v>
      </c>
      <c r="J338">
        <v>469.77</v>
      </c>
      <c r="K338" s="1">
        <v>43554</v>
      </c>
      <c r="L338" s="2">
        <v>0.42916666666666664</v>
      </c>
      <c r="M338" t="s">
        <v>29</v>
      </c>
      <c r="N338">
        <v>447.4</v>
      </c>
      <c r="O338">
        <v>4.7619047620000003</v>
      </c>
      <c r="P338">
        <v>22.37</v>
      </c>
      <c r="Q338">
        <v>7.4</v>
      </c>
      <c r="R338" s="3">
        <f t="shared" si="16"/>
        <v>43554.429166666669</v>
      </c>
      <c r="S338" t="str">
        <f t="shared" si="18"/>
        <v/>
      </c>
      <c r="T338" t="str">
        <f t="shared" si="17"/>
        <v/>
      </c>
    </row>
    <row r="339" spans="1:20">
      <c r="A339" t="s">
        <v>919</v>
      </c>
      <c r="B339" t="s">
        <v>18</v>
      </c>
      <c r="C339" t="s">
        <v>19</v>
      </c>
      <c r="D339" t="s">
        <v>20</v>
      </c>
      <c r="E339" t="s">
        <v>21</v>
      </c>
      <c r="F339" t="s">
        <v>31</v>
      </c>
      <c r="G339">
        <v>34.42</v>
      </c>
      <c r="H339">
        <v>6</v>
      </c>
      <c r="I339">
        <v>10.326000000000001</v>
      </c>
      <c r="J339">
        <v>216.846</v>
      </c>
      <c r="K339" s="1">
        <v>43554</v>
      </c>
      <c r="L339" s="2">
        <v>0.53125</v>
      </c>
      <c r="M339" t="s">
        <v>23</v>
      </c>
      <c r="N339">
        <v>206.52</v>
      </c>
      <c r="O339">
        <v>4.7619047620000003</v>
      </c>
      <c r="P339">
        <v>10.326000000000001</v>
      </c>
      <c r="Q339">
        <v>7.5</v>
      </c>
      <c r="R339" s="3">
        <f t="shared" si="16"/>
        <v>43554.53125</v>
      </c>
      <c r="S339">
        <f t="shared" si="18"/>
        <v>146.99999999720603</v>
      </c>
      <c r="T339">
        <f t="shared" si="17"/>
        <v>147</v>
      </c>
    </row>
    <row r="340" spans="1:20">
      <c r="A340" t="s">
        <v>342</v>
      </c>
      <c r="B340" t="s">
        <v>18</v>
      </c>
      <c r="C340" t="s">
        <v>19</v>
      </c>
      <c r="D340" t="s">
        <v>27</v>
      </c>
      <c r="E340" t="s">
        <v>21</v>
      </c>
      <c r="F340" t="s">
        <v>35</v>
      </c>
      <c r="G340">
        <v>40.229999999999997</v>
      </c>
      <c r="H340">
        <v>7</v>
      </c>
      <c r="I340">
        <v>14.080500000000001</v>
      </c>
      <c r="J340">
        <v>295.69049999999999</v>
      </c>
      <c r="K340" s="1">
        <v>43554</v>
      </c>
      <c r="L340" s="2">
        <v>0.55694444444444446</v>
      </c>
      <c r="M340" t="s">
        <v>29</v>
      </c>
      <c r="N340">
        <v>281.61</v>
      </c>
      <c r="O340">
        <v>4.7619047620000003</v>
      </c>
      <c r="P340">
        <v>14.080500000000001</v>
      </c>
      <c r="Q340">
        <v>9.6</v>
      </c>
      <c r="R340" s="3">
        <f t="shared" si="16"/>
        <v>43554.556944444441</v>
      </c>
      <c r="S340">
        <f t="shared" si="18"/>
        <v>36.999999994877726</v>
      </c>
      <c r="T340">
        <f t="shared" si="17"/>
        <v>37</v>
      </c>
    </row>
    <row r="341" spans="1:20">
      <c r="A341" t="s">
        <v>510</v>
      </c>
      <c r="B341" t="s">
        <v>18</v>
      </c>
      <c r="C341" t="s">
        <v>19</v>
      </c>
      <c r="D341" t="s">
        <v>20</v>
      </c>
      <c r="E341" t="s">
        <v>21</v>
      </c>
      <c r="F341" t="s">
        <v>28</v>
      </c>
      <c r="G341">
        <v>64.44</v>
      </c>
      <c r="H341">
        <v>5</v>
      </c>
      <c r="I341">
        <v>16.11</v>
      </c>
      <c r="J341">
        <v>338.31</v>
      </c>
      <c r="K341" s="1">
        <v>43554</v>
      </c>
      <c r="L341" s="2">
        <v>0.71111111111111114</v>
      </c>
      <c r="M341" t="s">
        <v>29</v>
      </c>
      <c r="N341">
        <v>322.2</v>
      </c>
      <c r="O341">
        <v>4.7619047620000003</v>
      </c>
      <c r="P341">
        <v>16.11</v>
      </c>
      <c r="Q341">
        <v>6.6</v>
      </c>
      <c r="R341" s="3">
        <f t="shared" si="16"/>
        <v>43554.711111111108</v>
      </c>
      <c r="S341">
        <f t="shared" si="18"/>
        <v>222.00000000069849</v>
      </c>
      <c r="T341">
        <f t="shared" si="17"/>
        <v>222</v>
      </c>
    </row>
    <row r="342" spans="1:20" hidden="1">
      <c r="A342" t="s">
        <v>1006</v>
      </c>
      <c r="B342" t="s">
        <v>41</v>
      </c>
      <c r="C342" t="s">
        <v>42</v>
      </c>
      <c r="D342" t="s">
        <v>20</v>
      </c>
      <c r="E342" t="s">
        <v>21</v>
      </c>
      <c r="F342" t="s">
        <v>43</v>
      </c>
      <c r="G342">
        <v>84.63</v>
      </c>
      <c r="H342">
        <v>10</v>
      </c>
      <c r="I342">
        <v>42.314999999999998</v>
      </c>
      <c r="J342">
        <v>888.61500000000001</v>
      </c>
      <c r="K342" s="1">
        <v>43466</v>
      </c>
      <c r="L342" s="2">
        <v>0.48333333333333334</v>
      </c>
      <c r="M342" t="s">
        <v>32</v>
      </c>
      <c r="N342">
        <v>846.3</v>
      </c>
      <c r="O342">
        <v>4.7619047620000003</v>
      </c>
      <c r="P342">
        <v>42.314999999999998</v>
      </c>
      <c r="Q342">
        <v>9</v>
      </c>
      <c r="R342" s="3">
        <f t="shared" si="16"/>
        <v>43466.48333333333</v>
      </c>
      <c r="S342" t="str">
        <f t="shared" si="18"/>
        <v/>
      </c>
      <c r="T342" t="str">
        <f t="shared" si="17"/>
        <v/>
      </c>
    </row>
    <row r="343" spans="1:20">
      <c r="A343" t="s">
        <v>486</v>
      </c>
      <c r="B343" t="s">
        <v>41</v>
      </c>
      <c r="C343" t="s">
        <v>42</v>
      </c>
      <c r="D343" t="s">
        <v>27</v>
      </c>
      <c r="E343" t="s">
        <v>21</v>
      </c>
      <c r="F343" t="s">
        <v>28</v>
      </c>
      <c r="G343">
        <v>74.709999999999994</v>
      </c>
      <c r="H343">
        <v>6</v>
      </c>
      <c r="I343">
        <v>22.413</v>
      </c>
      <c r="J343">
        <v>470.673</v>
      </c>
      <c r="K343" s="1">
        <v>43466</v>
      </c>
      <c r="L343" s="2">
        <v>0.79652777777777772</v>
      </c>
      <c r="M343" t="s">
        <v>29</v>
      </c>
      <c r="N343">
        <v>448.26</v>
      </c>
      <c r="O343">
        <v>4.7619047620000003</v>
      </c>
      <c r="P343">
        <v>22.413</v>
      </c>
      <c r="Q343">
        <v>6.7</v>
      </c>
      <c r="R343" s="3">
        <f t="shared" si="16"/>
        <v>43466.796527777777</v>
      </c>
      <c r="S343">
        <f t="shared" si="18"/>
        <v>451.00000000325963</v>
      </c>
      <c r="T343">
        <f t="shared" si="17"/>
        <v>451</v>
      </c>
    </row>
    <row r="344" spans="1:20">
      <c r="A344" t="s">
        <v>892</v>
      </c>
      <c r="B344" t="s">
        <v>41</v>
      </c>
      <c r="C344" t="s">
        <v>42</v>
      </c>
      <c r="D344" t="s">
        <v>27</v>
      </c>
      <c r="E344" t="s">
        <v>177</v>
      </c>
      <c r="F344" t="s">
        <v>43</v>
      </c>
      <c r="G344">
        <v>21.12</v>
      </c>
      <c r="H344">
        <v>8</v>
      </c>
      <c r="I344">
        <v>8.4480000000000004</v>
      </c>
      <c r="J344">
        <v>177.40799999999999</v>
      </c>
      <c r="K344" s="1">
        <v>43466</v>
      </c>
      <c r="L344" s="2">
        <v>0.81319444444444444</v>
      </c>
      <c r="M344" t="s">
        <v>29</v>
      </c>
      <c r="N344">
        <v>168.96</v>
      </c>
      <c r="O344">
        <v>4.7619047620000003</v>
      </c>
      <c r="P344">
        <v>8.4480000000000004</v>
      </c>
      <c r="Q344">
        <v>6.3</v>
      </c>
      <c r="R344" s="3">
        <f t="shared" si="16"/>
        <v>43466.813194444447</v>
      </c>
      <c r="S344">
        <f t="shared" si="18"/>
        <v>24.000000004889444</v>
      </c>
      <c r="T344">
        <f t="shared" si="17"/>
        <v>24</v>
      </c>
    </row>
    <row r="345" spans="1:20" hidden="1">
      <c r="A345" t="s">
        <v>446</v>
      </c>
      <c r="B345" t="s">
        <v>41</v>
      </c>
      <c r="C345" t="s">
        <v>42</v>
      </c>
      <c r="D345" t="s">
        <v>27</v>
      </c>
      <c r="E345" t="s">
        <v>21</v>
      </c>
      <c r="F345" t="s">
        <v>22</v>
      </c>
      <c r="G345">
        <v>34.21</v>
      </c>
      <c r="H345">
        <v>10</v>
      </c>
      <c r="I345">
        <v>17.105</v>
      </c>
      <c r="J345">
        <v>359.20499999999998</v>
      </c>
      <c r="K345" s="1">
        <v>43467</v>
      </c>
      <c r="L345" s="2">
        <v>0.54166666666666663</v>
      </c>
      <c r="M345" t="s">
        <v>29</v>
      </c>
      <c r="N345">
        <v>342.1</v>
      </c>
      <c r="O345">
        <v>4.7619047620000003</v>
      </c>
      <c r="P345">
        <v>17.105</v>
      </c>
      <c r="Q345">
        <v>5.0999999999999996</v>
      </c>
      <c r="R345" s="3">
        <f t="shared" si="16"/>
        <v>43467.541666666664</v>
      </c>
      <c r="S345" t="str">
        <f t="shared" si="18"/>
        <v/>
      </c>
      <c r="T345" t="str">
        <f t="shared" si="17"/>
        <v/>
      </c>
    </row>
    <row r="346" spans="1:20">
      <c r="A346" t="s">
        <v>461</v>
      </c>
      <c r="B346" t="s">
        <v>41</v>
      </c>
      <c r="C346" t="s">
        <v>42</v>
      </c>
      <c r="D346" t="s">
        <v>20</v>
      </c>
      <c r="E346" t="s">
        <v>177</v>
      </c>
      <c r="F346" t="s">
        <v>45</v>
      </c>
      <c r="G346">
        <v>40.61</v>
      </c>
      <c r="H346">
        <v>9</v>
      </c>
      <c r="I346">
        <v>18.2745</v>
      </c>
      <c r="J346">
        <v>383.7645</v>
      </c>
      <c r="K346" s="1">
        <v>43467</v>
      </c>
      <c r="L346" s="2">
        <v>0.56944444444444442</v>
      </c>
      <c r="M346" t="s">
        <v>29</v>
      </c>
      <c r="N346">
        <v>365.49</v>
      </c>
      <c r="O346">
        <v>4.7619047620000003</v>
      </c>
      <c r="P346">
        <v>18.2745</v>
      </c>
      <c r="Q346">
        <v>7</v>
      </c>
      <c r="R346" s="3">
        <f t="shared" si="16"/>
        <v>43467.569444444445</v>
      </c>
      <c r="S346">
        <f t="shared" si="18"/>
        <v>40.000000004656613</v>
      </c>
      <c r="T346">
        <f t="shared" si="17"/>
        <v>40</v>
      </c>
    </row>
    <row r="347" spans="1:20">
      <c r="A347" t="s">
        <v>487</v>
      </c>
      <c r="B347" t="s">
        <v>41</v>
      </c>
      <c r="C347" t="s">
        <v>42</v>
      </c>
      <c r="D347" t="s">
        <v>27</v>
      </c>
      <c r="E347" t="s">
        <v>177</v>
      </c>
      <c r="F347" t="s">
        <v>28</v>
      </c>
      <c r="G347">
        <v>22.01</v>
      </c>
      <c r="H347">
        <v>6</v>
      </c>
      <c r="I347">
        <v>6.6029999999999998</v>
      </c>
      <c r="J347">
        <v>138.66300000000001</v>
      </c>
      <c r="K347" s="1">
        <v>43467</v>
      </c>
      <c r="L347" s="2">
        <v>0.78472222222222221</v>
      </c>
      <c r="M347" t="s">
        <v>29</v>
      </c>
      <c r="N347">
        <v>132.06</v>
      </c>
      <c r="O347">
        <v>4.7619047620000003</v>
      </c>
      <c r="P347">
        <v>6.6029999999999998</v>
      </c>
      <c r="Q347">
        <v>7.6</v>
      </c>
      <c r="R347" s="3">
        <f t="shared" si="16"/>
        <v>43467.784722222219</v>
      </c>
      <c r="S347">
        <f t="shared" si="18"/>
        <v>309.99999999417923</v>
      </c>
      <c r="T347">
        <f t="shared" si="17"/>
        <v>310</v>
      </c>
    </row>
    <row r="348" spans="1:20">
      <c r="A348" t="s">
        <v>873</v>
      </c>
      <c r="B348" t="s">
        <v>41</v>
      </c>
      <c r="C348" t="s">
        <v>42</v>
      </c>
      <c r="D348" t="s">
        <v>27</v>
      </c>
      <c r="E348" t="s">
        <v>177</v>
      </c>
      <c r="F348" t="s">
        <v>35</v>
      </c>
      <c r="G348">
        <v>44.63</v>
      </c>
      <c r="H348">
        <v>6</v>
      </c>
      <c r="I348">
        <v>13.388999999999999</v>
      </c>
      <c r="J348">
        <v>281.16899999999998</v>
      </c>
      <c r="K348" s="1">
        <v>43467</v>
      </c>
      <c r="L348" s="2">
        <v>0.83888888888888891</v>
      </c>
      <c r="M348" t="s">
        <v>32</v>
      </c>
      <c r="N348">
        <v>267.77999999999997</v>
      </c>
      <c r="O348">
        <v>4.7619047620000003</v>
      </c>
      <c r="P348">
        <v>13.388999999999999</v>
      </c>
      <c r="Q348">
        <v>5.0999999999999996</v>
      </c>
      <c r="R348" s="3">
        <f t="shared" si="16"/>
        <v>43467.838888888888</v>
      </c>
      <c r="S348">
        <f t="shared" si="18"/>
        <v>78.000000002793968</v>
      </c>
      <c r="T348">
        <f t="shared" si="17"/>
        <v>78</v>
      </c>
    </row>
    <row r="349" spans="1:20" hidden="1">
      <c r="A349" t="s">
        <v>813</v>
      </c>
      <c r="B349" t="s">
        <v>41</v>
      </c>
      <c r="C349" t="s">
        <v>42</v>
      </c>
      <c r="D349" t="s">
        <v>27</v>
      </c>
      <c r="E349" t="s">
        <v>177</v>
      </c>
      <c r="F349" t="s">
        <v>35</v>
      </c>
      <c r="G349">
        <v>93.38</v>
      </c>
      <c r="H349">
        <v>1</v>
      </c>
      <c r="I349">
        <v>4.6689999999999996</v>
      </c>
      <c r="J349">
        <v>98.049000000000007</v>
      </c>
      <c r="K349" s="1">
        <v>43468</v>
      </c>
      <c r="L349" s="2">
        <v>0.54652777777777772</v>
      </c>
      <c r="M349" t="s">
        <v>29</v>
      </c>
      <c r="N349">
        <v>93.38</v>
      </c>
      <c r="O349">
        <v>4.7619047620000003</v>
      </c>
      <c r="P349">
        <v>4.6689999999999996</v>
      </c>
      <c r="Q349">
        <v>9.6</v>
      </c>
      <c r="R349" s="3">
        <f t="shared" si="16"/>
        <v>43468.546527777777</v>
      </c>
      <c r="S349" t="str">
        <f t="shared" si="18"/>
        <v/>
      </c>
      <c r="T349" t="str">
        <f t="shared" si="17"/>
        <v/>
      </c>
    </row>
    <row r="350" spans="1:20">
      <c r="A350" t="s">
        <v>1023</v>
      </c>
      <c r="B350" t="s">
        <v>41</v>
      </c>
      <c r="C350" t="s">
        <v>42</v>
      </c>
      <c r="D350" t="s">
        <v>20</v>
      </c>
      <c r="E350" t="s">
        <v>177</v>
      </c>
      <c r="F350" t="s">
        <v>22</v>
      </c>
      <c r="G350">
        <v>62</v>
      </c>
      <c r="H350">
        <v>8</v>
      </c>
      <c r="I350">
        <v>24.8</v>
      </c>
      <c r="J350">
        <v>520.79999999999995</v>
      </c>
      <c r="K350" s="1">
        <v>43468</v>
      </c>
      <c r="L350" s="2">
        <v>0.79722222222222228</v>
      </c>
      <c r="M350" t="s">
        <v>32</v>
      </c>
      <c r="N350">
        <v>496</v>
      </c>
      <c r="O350">
        <v>4.7619047620000003</v>
      </c>
      <c r="P350">
        <v>24.8</v>
      </c>
      <c r="Q350">
        <v>6.2</v>
      </c>
      <c r="R350" s="3">
        <f t="shared" si="16"/>
        <v>43468.797222222223</v>
      </c>
      <c r="S350">
        <f t="shared" si="18"/>
        <v>361.00000000325963</v>
      </c>
      <c r="T350">
        <f t="shared" si="17"/>
        <v>361</v>
      </c>
    </row>
    <row r="351" spans="1:20">
      <c r="A351" t="s">
        <v>970</v>
      </c>
      <c r="B351" t="s">
        <v>41</v>
      </c>
      <c r="C351" t="s">
        <v>42</v>
      </c>
      <c r="D351" t="s">
        <v>27</v>
      </c>
      <c r="E351" t="s">
        <v>21</v>
      </c>
      <c r="F351" t="s">
        <v>31</v>
      </c>
      <c r="G351">
        <v>63.15</v>
      </c>
      <c r="H351">
        <v>6</v>
      </c>
      <c r="I351">
        <v>18.945</v>
      </c>
      <c r="J351">
        <v>397.84500000000003</v>
      </c>
      <c r="K351" s="1">
        <v>43468</v>
      </c>
      <c r="L351" s="2">
        <v>0.85</v>
      </c>
      <c r="M351" t="s">
        <v>23</v>
      </c>
      <c r="N351">
        <v>378.9</v>
      </c>
      <c r="O351">
        <v>4.7619047620000003</v>
      </c>
      <c r="P351">
        <v>18.945</v>
      </c>
      <c r="Q351">
        <v>9.8000000000000007</v>
      </c>
      <c r="R351" s="3">
        <f t="shared" si="16"/>
        <v>43468.85</v>
      </c>
      <c r="S351">
        <f t="shared" si="18"/>
        <v>75.99999999627471</v>
      </c>
      <c r="T351">
        <f t="shared" si="17"/>
        <v>76</v>
      </c>
    </row>
    <row r="352" spans="1:20" hidden="1">
      <c r="A352" t="s">
        <v>249</v>
      </c>
      <c r="B352" t="s">
        <v>41</v>
      </c>
      <c r="C352" t="s">
        <v>42</v>
      </c>
      <c r="D352" t="s">
        <v>27</v>
      </c>
      <c r="E352" t="s">
        <v>177</v>
      </c>
      <c r="F352" t="s">
        <v>35</v>
      </c>
      <c r="G352">
        <v>46.42</v>
      </c>
      <c r="H352">
        <v>3</v>
      </c>
      <c r="I352">
        <v>6.9630000000000001</v>
      </c>
      <c r="J352">
        <v>146.22300000000001</v>
      </c>
      <c r="K352" s="1">
        <v>43469</v>
      </c>
      <c r="L352" s="2">
        <v>0.55833333333333335</v>
      </c>
      <c r="M352" t="s">
        <v>32</v>
      </c>
      <c r="N352">
        <v>139.26</v>
      </c>
      <c r="O352">
        <v>4.7619047620000003</v>
      </c>
      <c r="P352">
        <v>6.9630000000000001</v>
      </c>
      <c r="Q352">
        <v>4.4000000000000004</v>
      </c>
      <c r="R352" s="3">
        <f t="shared" si="16"/>
        <v>43469.558333333334</v>
      </c>
      <c r="S352" t="str">
        <f t="shared" si="18"/>
        <v/>
      </c>
      <c r="T352" t="str">
        <f t="shared" si="17"/>
        <v/>
      </c>
    </row>
    <row r="353" spans="1:20">
      <c r="A353" t="s">
        <v>443</v>
      </c>
      <c r="B353" t="s">
        <v>41</v>
      </c>
      <c r="C353" t="s">
        <v>42</v>
      </c>
      <c r="D353" t="s">
        <v>20</v>
      </c>
      <c r="E353" t="s">
        <v>21</v>
      </c>
      <c r="F353" t="s">
        <v>45</v>
      </c>
      <c r="G353">
        <v>68.709999999999994</v>
      </c>
      <c r="H353">
        <v>4</v>
      </c>
      <c r="I353">
        <v>13.742000000000001</v>
      </c>
      <c r="J353">
        <v>288.58199999999999</v>
      </c>
      <c r="K353" s="1">
        <v>43469</v>
      </c>
      <c r="L353" s="2">
        <v>0.79236111111111107</v>
      </c>
      <c r="M353" t="s">
        <v>29</v>
      </c>
      <c r="N353">
        <v>274.83999999999997</v>
      </c>
      <c r="O353">
        <v>4.7619047620000003</v>
      </c>
      <c r="P353">
        <v>13.742000000000001</v>
      </c>
      <c r="Q353">
        <v>4.0999999999999996</v>
      </c>
      <c r="R353" s="3">
        <f t="shared" si="16"/>
        <v>43469.792361111111</v>
      </c>
      <c r="S353">
        <f t="shared" si="18"/>
        <v>336.99999999837019</v>
      </c>
      <c r="T353">
        <f t="shared" si="17"/>
        <v>337</v>
      </c>
    </row>
    <row r="354" spans="1:20">
      <c r="A354" t="s">
        <v>192</v>
      </c>
      <c r="B354" t="s">
        <v>41</v>
      </c>
      <c r="C354" t="s">
        <v>42</v>
      </c>
      <c r="D354" t="s">
        <v>20</v>
      </c>
      <c r="E354" t="s">
        <v>177</v>
      </c>
      <c r="F354" t="s">
        <v>28</v>
      </c>
      <c r="G354">
        <v>72.17</v>
      </c>
      <c r="H354">
        <v>1</v>
      </c>
      <c r="I354">
        <v>3.6084999999999998</v>
      </c>
      <c r="J354">
        <v>75.778499999999994</v>
      </c>
      <c r="K354" s="1">
        <v>43469</v>
      </c>
      <c r="L354" s="2">
        <v>0.81944444444444442</v>
      </c>
      <c r="M354" t="s">
        <v>29</v>
      </c>
      <c r="N354">
        <v>72.17</v>
      </c>
      <c r="O354">
        <v>4.7619047620000003</v>
      </c>
      <c r="P354">
        <v>3.6084999999999998</v>
      </c>
      <c r="Q354">
        <v>6.1</v>
      </c>
      <c r="R354" s="3">
        <f t="shared" si="16"/>
        <v>43469.819444444445</v>
      </c>
      <c r="S354">
        <f t="shared" si="18"/>
        <v>39.000000001396984</v>
      </c>
      <c r="T354">
        <f t="shared" si="17"/>
        <v>39</v>
      </c>
    </row>
    <row r="355" spans="1:20" hidden="1">
      <c r="A355" t="s">
        <v>572</v>
      </c>
      <c r="B355" t="s">
        <v>41</v>
      </c>
      <c r="C355" t="s">
        <v>42</v>
      </c>
      <c r="D355" t="s">
        <v>20</v>
      </c>
      <c r="E355" t="s">
        <v>21</v>
      </c>
      <c r="F355" t="s">
        <v>45</v>
      </c>
      <c r="G355">
        <v>73.959999999999994</v>
      </c>
      <c r="H355">
        <v>1</v>
      </c>
      <c r="I355">
        <v>3.698</v>
      </c>
      <c r="J355">
        <v>77.658000000000001</v>
      </c>
      <c r="K355" s="1">
        <v>43470</v>
      </c>
      <c r="L355" s="2">
        <v>0.48055555555555557</v>
      </c>
      <c r="M355" t="s">
        <v>32</v>
      </c>
      <c r="N355">
        <v>73.959999999999994</v>
      </c>
      <c r="O355">
        <v>4.7619047620000003</v>
      </c>
      <c r="P355">
        <v>3.698</v>
      </c>
      <c r="Q355">
        <v>5</v>
      </c>
      <c r="R355" s="3">
        <f t="shared" si="16"/>
        <v>43470.480555555558</v>
      </c>
      <c r="S355" t="str">
        <f t="shared" si="18"/>
        <v/>
      </c>
      <c r="T355" t="str">
        <f t="shared" si="17"/>
        <v/>
      </c>
    </row>
    <row r="356" spans="1:20">
      <c r="A356" t="s">
        <v>412</v>
      </c>
      <c r="B356" t="s">
        <v>41</v>
      </c>
      <c r="C356" t="s">
        <v>42</v>
      </c>
      <c r="D356" t="s">
        <v>20</v>
      </c>
      <c r="E356" t="s">
        <v>21</v>
      </c>
      <c r="F356" t="s">
        <v>31</v>
      </c>
      <c r="G356">
        <v>35.380000000000003</v>
      </c>
      <c r="H356">
        <v>9</v>
      </c>
      <c r="I356">
        <v>15.920999999999999</v>
      </c>
      <c r="J356">
        <v>334.34100000000001</v>
      </c>
      <c r="K356" s="1">
        <v>43470</v>
      </c>
      <c r="L356" s="2">
        <v>0.82638888888888884</v>
      </c>
      <c r="M356" t="s">
        <v>32</v>
      </c>
      <c r="N356">
        <v>318.42</v>
      </c>
      <c r="O356">
        <v>4.7619047620000003</v>
      </c>
      <c r="P356">
        <v>15.920999999999999</v>
      </c>
      <c r="Q356">
        <v>9.6</v>
      </c>
      <c r="R356" s="3">
        <f t="shared" si="16"/>
        <v>43470.826388888891</v>
      </c>
      <c r="S356">
        <f t="shared" si="18"/>
        <v>497.99999999930151</v>
      </c>
      <c r="T356">
        <f t="shared" si="17"/>
        <v>498</v>
      </c>
    </row>
    <row r="357" spans="1:20">
      <c r="A357" t="s">
        <v>580</v>
      </c>
      <c r="B357" t="s">
        <v>41</v>
      </c>
      <c r="C357" t="s">
        <v>42</v>
      </c>
      <c r="D357" t="s">
        <v>27</v>
      </c>
      <c r="E357" t="s">
        <v>21</v>
      </c>
      <c r="F357" t="s">
        <v>43</v>
      </c>
      <c r="G357">
        <v>71.2</v>
      </c>
      <c r="H357">
        <v>1</v>
      </c>
      <c r="I357">
        <v>3.56</v>
      </c>
      <c r="J357">
        <v>74.760000000000005</v>
      </c>
      <c r="K357" s="1">
        <v>43470</v>
      </c>
      <c r="L357" s="2">
        <v>0.86111111111111116</v>
      </c>
      <c r="M357" t="s">
        <v>32</v>
      </c>
      <c r="N357">
        <v>71.2</v>
      </c>
      <c r="O357">
        <v>4.7619047620000003</v>
      </c>
      <c r="P357">
        <v>3.56</v>
      </c>
      <c r="Q357">
        <v>9.1999999999999993</v>
      </c>
      <c r="R357" s="3">
        <f t="shared" si="16"/>
        <v>43470.861111111109</v>
      </c>
      <c r="S357">
        <f t="shared" si="18"/>
        <v>49.999999995343387</v>
      </c>
      <c r="T357">
        <f t="shared" si="17"/>
        <v>50</v>
      </c>
    </row>
    <row r="358" spans="1:20" hidden="1">
      <c r="A358" t="s">
        <v>739</v>
      </c>
      <c r="B358" t="s">
        <v>41</v>
      </c>
      <c r="C358" t="s">
        <v>42</v>
      </c>
      <c r="D358" t="s">
        <v>20</v>
      </c>
      <c r="E358" t="s">
        <v>177</v>
      </c>
      <c r="F358" t="s">
        <v>22</v>
      </c>
      <c r="G358">
        <v>80.47</v>
      </c>
      <c r="H358">
        <v>9</v>
      </c>
      <c r="I358">
        <v>36.211500000000001</v>
      </c>
      <c r="J358">
        <v>760.44150000000002</v>
      </c>
      <c r="K358" s="1">
        <v>43471</v>
      </c>
      <c r="L358" s="2">
        <v>0.47083333333333333</v>
      </c>
      <c r="M358" t="s">
        <v>29</v>
      </c>
      <c r="N358">
        <v>724.23</v>
      </c>
      <c r="O358">
        <v>4.7619047620000003</v>
      </c>
      <c r="P358">
        <v>36.211500000000001</v>
      </c>
      <c r="Q358">
        <v>9.1999999999999993</v>
      </c>
      <c r="R358" s="3">
        <f t="shared" si="16"/>
        <v>43471.470833333333</v>
      </c>
      <c r="S358" t="str">
        <f t="shared" si="18"/>
        <v/>
      </c>
      <c r="T358" t="str">
        <f t="shared" si="17"/>
        <v/>
      </c>
    </row>
    <row r="359" spans="1:20">
      <c r="A359" t="s">
        <v>733</v>
      </c>
      <c r="B359" t="s">
        <v>41</v>
      </c>
      <c r="C359" t="s">
        <v>42</v>
      </c>
      <c r="D359" t="s">
        <v>27</v>
      </c>
      <c r="E359" t="s">
        <v>177</v>
      </c>
      <c r="F359" t="s">
        <v>31</v>
      </c>
      <c r="G359">
        <v>62.19</v>
      </c>
      <c r="H359">
        <v>4</v>
      </c>
      <c r="I359">
        <v>12.438000000000001</v>
      </c>
      <c r="J359">
        <v>261.19799999999998</v>
      </c>
      <c r="K359" s="1">
        <v>43471</v>
      </c>
      <c r="L359" s="2">
        <v>0.82361111111111107</v>
      </c>
      <c r="M359" t="s">
        <v>23</v>
      </c>
      <c r="N359">
        <v>248.76</v>
      </c>
      <c r="O359">
        <v>4.7619047620000003</v>
      </c>
      <c r="P359">
        <v>12.438000000000001</v>
      </c>
      <c r="Q359">
        <v>4.3</v>
      </c>
      <c r="R359" s="3">
        <f t="shared" si="16"/>
        <v>43471.823611111111</v>
      </c>
      <c r="S359">
        <f t="shared" si="18"/>
        <v>508.00000000046566</v>
      </c>
      <c r="T359">
        <f t="shared" si="17"/>
        <v>508</v>
      </c>
    </row>
    <row r="360" spans="1:20" hidden="1">
      <c r="A360" t="s">
        <v>391</v>
      </c>
      <c r="B360" t="s">
        <v>41</v>
      </c>
      <c r="C360" t="s">
        <v>42</v>
      </c>
      <c r="D360" t="s">
        <v>20</v>
      </c>
      <c r="E360" t="s">
        <v>21</v>
      </c>
      <c r="F360" t="s">
        <v>43</v>
      </c>
      <c r="G360">
        <v>89.14</v>
      </c>
      <c r="H360">
        <v>4</v>
      </c>
      <c r="I360">
        <v>17.827999999999999</v>
      </c>
      <c r="J360">
        <v>374.38799999999998</v>
      </c>
      <c r="K360" s="1">
        <v>43472</v>
      </c>
      <c r="L360" s="2">
        <v>0.51388888888888884</v>
      </c>
      <c r="M360" t="s">
        <v>32</v>
      </c>
      <c r="N360">
        <v>356.56</v>
      </c>
      <c r="O360">
        <v>4.7619047620000003</v>
      </c>
      <c r="P360">
        <v>17.827999999999999</v>
      </c>
      <c r="Q360">
        <v>7.8</v>
      </c>
      <c r="R360" s="3">
        <f t="shared" si="16"/>
        <v>43472.513888888891</v>
      </c>
      <c r="S360" t="str">
        <f t="shared" si="18"/>
        <v/>
      </c>
      <c r="T360" t="str">
        <f t="shared" si="17"/>
        <v/>
      </c>
    </row>
    <row r="361" spans="1:20">
      <c r="A361" t="s">
        <v>102</v>
      </c>
      <c r="B361" t="s">
        <v>41</v>
      </c>
      <c r="C361" t="s">
        <v>42</v>
      </c>
      <c r="D361" t="s">
        <v>20</v>
      </c>
      <c r="E361" t="s">
        <v>21</v>
      </c>
      <c r="F361" t="s">
        <v>45</v>
      </c>
      <c r="G361">
        <v>97.61</v>
      </c>
      <c r="H361">
        <v>6</v>
      </c>
      <c r="I361">
        <v>29.283000000000001</v>
      </c>
      <c r="J361">
        <v>614.94299999999998</v>
      </c>
      <c r="K361" s="1">
        <v>43472</v>
      </c>
      <c r="L361" s="2">
        <v>0.62569444444444444</v>
      </c>
      <c r="M361" t="s">
        <v>23</v>
      </c>
      <c r="N361">
        <v>585.66</v>
      </c>
      <c r="O361">
        <v>4.7619047620000003</v>
      </c>
      <c r="P361">
        <v>29.283000000000001</v>
      </c>
      <c r="Q361">
        <v>9.9</v>
      </c>
      <c r="R361" s="3">
        <f t="shared" si="16"/>
        <v>43472.625694444447</v>
      </c>
      <c r="S361">
        <f t="shared" si="18"/>
        <v>161.00000000093132</v>
      </c>
      <c r="T361">
        <f t="shared" si="17"/>
        <v>161</v>
      </c>
    </row>
    <row r="362" spans="1:20">
      <c r="A362" t="s">
        <v>311</v>
      </c>
      <c r="B362" t="s">
        <v>41</v>
      </c>
      <c r="C362" t="s">
        <v>42</v>
      </c>
      <c r="D362" t="s">
        <v>27</v>
      </c>
      <c r="E362" t="s">
        <v>177</v>
      </c>
      <c r="F362" t="s">
        <v>45</v>
      </c>
      <c r="G362">
        <v>47.97</v>
      </c>
      <c r="H362">
        <v>7</v>
      </c>
      <c r="I362">
        <v>16.7895</v>
      </c>
      <c r="J362">
        <v>352.5795</v>
      </c>
      <c r="K362" s="1">
        <v>43472</v>
      </c>
      <c r="L362" s="2">
        <v>0.86944444444444446</v>
      </c>
      <c r="M362" t="s">
        <v>29</v>
      </c>
      <c r="N362">
        <v>335.79</v>
      </c>
      <c r="O362">
        <v>4.7619047620000003</v>
      </c>
      <c r="P362">
        <v>16.7895</v>
      </c>
      <c r="Q362">
        <v>6.2</v>
      </c>
      <c r="R362" s="3">
        <f t="shared" si="16"/>
        <v>43472.869444444441</v>
      </c>
      <c r="S362">
        <f t="shared" si="18"/>
        <v>350.9999999916181</v>
      </c>
      <c r="T362">
        <f t="shared" si="17"/>
        <v>351</v>
      </c>
    </row>
    <row r="363" spans="1:20" hidden="1">
      <c r="A363" t="s">
        <v>722</v>
      </c>
      <c r="B363" t="s">
        <v>41</v>
      </c>
      <c r="C363" t="s">
        <v>42</v>
      </c>
      <c r="D363" t="s">
        <v>20</v>
      </c>
      <c r="E363" t="s">
        <v>21</v>
      </c>
      <c r="F363" t="s">
        <v>35</v>
      </c>
      <c r="G363">
        <v>64.83</v>
      </c>
      <c r="H363">
        <v>2</v>
      </c>
      <c r="I363">
        <v>6.4829999999999997</v>
      </c>
      <c r="J363">
        <v>136.143</v>
      </c>
      <c r="K363" s="1">
        <v>43473</v>
      </c>
      <c r="L363" s="2">
        <v>0.49930555555555556</v>
      </c>
      <c r="M363" t="s">
        <v>32</v>
      </c>
      <c r="N363">
        <v>129.66</v>
      </c>
      <c r="O363">
        <v>4.7619047620000003</v>
      </c>
      <c r="P363">
        <v>6.4829999999999997</v>
      </c>
      <c r="Q363">
        <v>8</v>
      </c>
      <c r="R363" s="3">
        <f t="shared" si="16"/>
        <v>43473.499305555553</v>
      </c>
      <c r="S363" t="str">
        <f t="shared" si="18"/>
        <v/>
      </c>
      <c r="T363" t="str">
        <f t="shared" si="17"/>
        <v/>
      </c>
    </row>
    <row r="364" spans="1:20">
      <c r="A364" t="s">
        <v>542</v>
      </c>
      <c r="B364" t="s">
        <v>41</v>
      </c>
      <c r="C364" t="s">
        <v>42</v>
      </c>
      <c r="D364" t="s">
        <v>20</v>
      </c>
      <c r="E364" t="s">
        <v>21</v>
      </c>
      <c r="F364" t="s">
        <v>35</v>
      </c>
      <c r="G364">
        <v>48.5</v>
      </c>
      <c r="H364">
        <v>3</v>
      </c>
      <c r="I364">
        <v>7.2750000000000004</v>
      </c>
      <c r="J364">
        <v>152.77500000000001</v>
      </c>
      <c r="K364" s="1">
        <v>43473</v>
      </c>
      <c r="L364" s="2">
        <v>0.53472222222222221</v>
      </c>
      <c r="M364" t="s">
        <v>29</v>
      </c>
      <c r="N364">
        <v>145.5</v>
      </c>
      <c r="O364">
        <v>4.7619047620000003</v>
      </c>
      <c r="P364">
        <v>7.2750000000000004</v>
      </c>
      <c r="Q364">
        <v>6.7</v>
      </c>
      <c r="R364" s="3">
        <f t="shared" si="16"/>
        <v>43473.534722222219</v>
      </c>
      <c r="S364">
        <f t="shared" si="18"/>
        <v>50.999999998603016</v>
      </c>
      <c r="T364">
        <f t="shared" si="17"/>
        <v>51</v>
      </c>
    </row>
    <row r="365" spans="1:20">
      <c r="A365" t="s">
        <v>721</v>
      </c>
      <c r="B365" t="s">
        <v>41</v>
      </c>
      <c r="C365" t="s">
        <v>42</v>
      </c>
      <c r="D365" t="s">
        <v>20</v>
      </c>
      <c r="E365" t="s">
        <v>21</v>
      </c>
      <c r="F365" t="s">
        <v>31</v>
      </c>
      <c r="G365">
        <v>49.1</v>
      </c>
      <c r="H365">
        <v>2</v>
      </c>
      <c r="I365">
        <v>4.91</v>
      </c>
      <c r="J365">
        <v>103.11</v>
      </c>
      <c r="K365" s="1">
        <v>43473</v>
      </c>
      <c r="L365" s="2">
        <v>0.54027777777777775</v>
      </c>
      <c r="M365" t="s">
        <v>32</v>
      </c>
      <c r="N365">
        <v>98.2</v>
      </c>
      <c r="O365">
        <v>4.7619047620000003</v>
      </c>
      <c r="P365">
        <v>4.91</v>
      </c>
      <c r="Q365">
        <v>6.4</v>
      </c>
      <c r="R365" s="3">
        <f t="shared" si="16"/>
        <v>43473.540277777778</v>
      </c>
      <c r="S365">
        <f t="shared" si="18"/>
        <v>8.0000000051222742</v>
      </c>
      <c r="T365">
        <f t="shared" si="17"/>
        <v>8</v>
      </c>
    </row>
    <row r="366" spans="1:20">
      <c r="A366" t="s">
        <v>916</v>
      </c>
      <c r="B366" t="s">
        <v>41</v>
      </c>
      <c r="C366" t="s">
        <v>42</v>
      </c>
      <c r="D366" t="s">
        <v>20</v>
      </c>
      <c r="E366" t="s">
        <v>21</v>
      </c>
      <c r="F366" t="s">
        <v>43</v>
      </c>
      <c r="G366">
        <v>33.21</v>
      </c>
      <c r="H366">
        <v>10</v>
      </c>
      <c r="I366">
        <v>16.605</v>
      </c>
      <c r="J366">
        <v>348.70499999999998</v>
      </c>
      <c r="K366" s="1">
        <v>43473</v>
      </c>
      <c r="L366" s="2">
        <v>0.60069444444444442</v>
      </c>
      <c r="M366" t="s">
        <v>23</v>
      </c>
      <c r="N366">
        <v>332.1</v>
      </c>
      <c r="O366">
        <v>4.7619047620000003</v>
      </c>
      <c r="P366">
        <v>16.605</v>
      </c>
      <c r="Q366">
        <v>6</v>
      </c>
      <c r="R366" s="3">
        <f t="shared" si="16"/>
        <v>43473.600694444445</v>
      </c>
      <c r="S366">
        <f t="shared" si="18"/>
        <v>87.000000000698492</v>
      </c>
      <c r="T366">
        <f t="shared" si="17"/>
        <v>87</v>
      </c>
    </row>
    <row r="367" spans="1:20">
      <c r="A367" t="s">
        <v>782</v>
      </c>
      <c r="B367" t="s">
        <v>41</v>
      </c>
      <c r="C367" t="s">
        <v>42</v>
      </c>
      <c r="D367" t="s">
        <v>20</v>
      </c>
      <c r="E367" t="s">
        <v>177</v>
      </c>
      <c r="F367" t="s">
        <v>45</v>
      </c>
      <c r="G367">
        <v>65.23</v>
      </c>
      <c r="H367">
        <v>10</v>
      </c>
      <c r="I367">
        <v>32.615000000000002</v>
      </c>
      <c r="J367">
        <v>684.91499999999996</v>
      </c>
      <c r="K367" s="1">
        <v>43473</v>
      </c>
      <c r="L367" s="2">
        <v>0.79652777777777772</v>
      </c>
      <c r="M367" t="s">
        <v>32</v>
      </c>
      <c r="N367">
        <v>652.29999999999995</v>
      </c>
      <c r="O367">
        <v>4.7619047620000003</v>
      </c>
      <c r="P367">
        <v>32.615000000000002</v>
      </c>
      <c r="Q367">
        <v>5.2</v>
      </c>
      <c r="R367" s="3">
        <f t="shared" si="16"/>
        <v>43473.796527777777</v>
      </c>
      <c r="S367">
        <f t="shared" si="18"/>
        <v>281.99999999720603</v>
      </c>
      <c r="T367">
        <f t="shared" si="17"/>
        <v>282</v>
      </c>
    </row>
    <row r="368" spans="1:20">
      <c r="A368" t="s">
        <v>303</v>
      </c>
      <c r="B368" t="s">
        <v>41</v>
      </c>
      <c r="C368" t="s">
        <v>42</v>
      </c>
      <c r="D368" t="s">
        <v>20</v>
      </c>
      <c r="E368" t="s">
        <v>21</v>
      </c>
      <c r="F368" t="s">
        <v>43</v>
      </c>
      <c r="G368">
        <v>74.599999999999994</v>
      </c>
      <c r="H368">
        <v>10</v>
      </c>
      <c r="I368">
        <v>37.299999999999997</v>
      </c>
      <c r="J368">
        <v>783.3</v>
      </c>
      <c r="K368" s="1">
        <v>43473</v>
      </c>
      <c r="L368" s="2">
        <v>0.87152777777777779</v>
      </c>
      <c r="M368" t="s">
        <v>29</v>
      </c>
      <c r="N368">
        <v>746</v>
      </c>
      <c r="O368">
        <v>4.7619047620000003</v>
      </c>
      <c r="P368">
        <v>37.299999999999997</v>
      </c>
      <c r="Q368">
        <v>9.5</v>
      </c>
      <c r="R368" s="3">
        <f t="shared" si="16"/>
        <v>43473.871527777781</v>
      </c>
      <c r="S368">
        <f t="shared" si="18"/>
        <v>108.00000000628643</v>
      </c>
      <c r="T368">
        <f t="shared" si="17"/>
        <v>108</v>
      </c>
    </row>
    <row r="369" spans="1:20" hidden="1">
      <c r="A369" t="s">
        <v>868</v>
      </c>
      <c r="B369" t="s">
        <v>41</v>
      </c>
      <c r="C369" t="s">
        <v>42</v>
      </c>
      <c r="D369" t="s">
        <v>20</v>
      </c>
      <c r="E369" t="s">
        <v>21</v>
      </c>
      <c r="F369" t="s">
        <v>35</v>
      </c>
      <c r="G369">
        <v>11.85</v>
      </c>
      <c r="H369">
        <v>8</v>
      </c>
      <c r="I369">
        <v>4.74</v>
      </c>
      <c r="J369">
        <v>99.54</v>
      </c>
      <c r="K369" s="1">
        <v>43474</v>
      </c>
      <c r="L369" s="2">
        <v>0.69027777777777777</v>
      </c>
      <c r="M369" t="s">
        <v>29</v>
      </c>
      <c r="N369">
        <v>94.8</v>
      </c>
      <c r="O369">
        <v>4.7619047620000003</v>
      </c>
      <c r="P369">
        <v>4.74</v>
      </c>
      <c r="Q369">
        <v>4.0999999999999996</v>
      </c>
      <c r="R369" s="3">
        <f t="shared" si="16"/>
        <v>43474.69027777778</v>
      </c>
      <c r="S369" t="str">
        <f t="shared" si="18"/>
        <v/>
      </c>
      <c r="T369" t="str">
        <f t="shared" si="17"/>
        <v/>
      </c>
    </row>
    <row r="370" spans="1:20">
      <c r="A370" t="s">
        <v>987</v>
      </c>
      <c r="B370" t="s">
        <v>41</v>
      </c>
      <c r="C370" t="s">
        <v>42</v>
      </c>
      <c r="D370" t="s">
        <v>20</v>
      </c>
      <c r="E370" t="s">
        <v>21</v>
      </c>
      <c r="F370" t="s">
        <v>31</v>
      </c>
      <c r="G370">
        <v>21.9</v>
      </c>
      <c r="H370">
        <v>3</v>
      </c>
      <c r="I370">
        <v>3.2850000000000001</v>
      </c>
      <c r="J370">
        <v>68.984999999999999</v>
      </c>
      <c r="K370" s="1">
        <v>43474</v>
      </c>
      <c r="L370" s="2">
        <v>0.77986111111111112</v>
      </c>
      <c r="M370" t="s">
        <v>23</v>
      </c>
      <c r="N370">
        <v>65.7</v>
      </c>
      <c r="O370">
        <v>4.7619047620000003</v>
      </c>
      <c r="P370">
        <v>3.2850000000000001</v>
      </c>
      <c r="Q370">
        <v>4.7</v>
      </c>
      <c r="R370" s="3">
        <f t="shared" si="16"/>
        <v>43474.779861111114</v>
      </c>
      <c r="S370">
        <f t="shared" si="18"/>
        <v>129.00000000139698</v>
      </c>
      <c r="T370">
        <f t="shared" si="17"/>
        <v>129</v>
      </c>
    </row>
    <row r="371" spans="1:20" hidden="1">
      <c r="A371" t="s">
        <v>604</v>
      </c>
      <c r="B371" t="s">
        <v>41</v>
      </c>
      <c r="C371" t="s">
        <v>42</v>
      </c>
      <c r="D371" t="s">
        <v>27</v>
      </c>
      <c r="E371" t="s">
        <v>21</v>
      </c>
      <c r="F371" t="s">
        <v>45</v>
      </c>
      <c r="G371">
        <v>79.86</v>
      </c>
      <c r="H371">
        <v>7</v>
      </c>
      <c r="I371">
        <v>27.951000000000001</v>
      </c>
      <c r="J371">
        <v>586.971</v>
      </c>
      <c r="K371" s="1">
        <v>43475</v>
      </c>
      <c r="L371" s="2">
        <v>0.43958333333333333</v>
      </c>
      <c r="M371" t="s">
        <v>32</v>
      </c>
      <c r="N371">
        <v>559.02</v>
      </c>
      <c r="O371">
        <v>4.7619047620000003</v>
      </c>
      <c r="P371">
        <v>27.951000000000001</v>
      </c>
      <c r="Q371">
        <v>5.5</v>
      </c>
      <c r="R371" s="3">
        <f t="shared" si="16"/>
        <v>43475.439583333333</v>
      </c>
      <c r="S371" t="str">
        <f t="shared" si="18"/>
        <v/>
      </c>
      <c r="T371" t="str">
        <f t="shared" si="17"/>
        <v/>
      </c>
    </row>
    <row r="372" spans="1:20">
      <c r="A372" t="s">
        <v>961</v>
      </c>
      <c r="B372" t="s">
        <v>41</v>
      </c>
      <c r="C372" t="s">
        <v>42</v>
      </c>
      <c r="D372" t="s">
        <v>27</v>
      </c>
      <c r="E372" t="s">
        <v>21</v>
      </c>
      <c r="F372" t="s">
        <v>28</v>
      </c>
      <c r="G372">
        <v>13.78</v>
      </c>
      <c r="H372">
        <v>4</v>
      </c>
      <c r="I372">
        <v>2.7559999999999998</v>
      </c>
      <c r="J372">
        <v>57.875999999999998</v>
      </c>
      <c r="K372" s="1">
        <v>43475</v>
      </c>
      <c r="L372" s="2">
        <v>0.46527777777777779</v>
      </c>
      <c r="M372" t="s">
        <v>23</v>
      </c>
      <c r="N372">
        <v>55.12</v>
      </c>
      <c r="O372">
        <v>4.7619047620000003</v>
      </c>
      <c r="P372">
        <v>2.7559999999999998</v>
      </c>
      <c r="Q372">
        <v>9</v>
      </c>
      <c r="R372" s="3">
        <f t="shared" si="16"/>
        <v>43475.465277777781</v>
      </c>
      <c r="S372">
        <f t="shared" si="18"/>
        <v>37.000000005355105</v>
      </c>
      <c r="T372">
        <f t="shared" si="17"/>
        <v>37</v>
      </c>
    </row>
    <row r="373" spans="1:20">
      <c r="A373" t="s">
        <v>67</v>
      </c>
      <c r="B373" t="s">
        <v>41</v>
      </c>
      <c r="C373" t="s">
        <v>42</v>
      </c>
      <c r="D373" t="s">
        <v>20</v>
      </c>
      <c r="E373" t="s">
        <v>21</v>
      </c>
      <c r="F373" t="s">
        <v>35</v>
      </c>
      <c r="G373">
        <v>83.78</v>
      </c>
      <c r="H373">
        <v>8</v>
      </c>
      <c r="I373">
        <v>33.512</v>
      </c>
      <c r="J373">
        <v>703.75199999999995</v>
      </c>
      <c r="K373" s="1">
        <v>43475</v>
      </c>
      <c r="L373" s="2">
        <v>0.61736111111111114</v>
      </c>
      <c r="M373" t="s">
        <v>29</v>
      </c>
      <c r="N373">
        <v>670.24</v>
      </c>
      <c r="O373">
        <v>4.7619047620000003</v>
      </c>
      <c r="P373">
        <v>33.512</v>
      </c>
      <c r="Q373">
        <v>5.0999999999999996</v>
      </c>
      <c r="R373" s="3">
        <f t="shared" si="16"/>
        <v>43475.617361111108</v>
      </c>
      <c r="S373">
        <f t="shared" si="18"/>
        <v>218.9999999909196</v>
      </c>
      <c r="T373">
        <f t="shared" si="17"/>
        <v>219</v>
      </c>
    </row>
    <row r="374" spans="1:20" hidden="1">
      <c r="A374" t="s">
        <v>659</v>
      </c>
      <c r="B374" t="s">
        <v>41</v>
      </c>
      <c r="C374" t="s">
        <v>42</v>
      </c>
      <c r="D374" t="s">
        <v>27</v>
      </c>
      <c r="E374" t="s">
        <v>21</v>
      </c>
      <c r="F374" t="s">
        <v>45</v>
      </c>
      <c r="G374">
        <v>83.25</v>
      </c>
      <c r="H374">
        <v>10</v>
      </c>
      <c r="I374">
        <v>41.625</v>
      </c>
      <c r="J374">
        <v>874.125</v>
      </c>
      <c r="K374" s="1">
        <v>43477</v>
      </c>
      <c r="L374" s="2">
        <v>0.47569444444444442</v>
      </c>
      <c r="M374" t="s">
        <v>32</v>
      </c>
      <c r="N374">
        <v>832.5</v>
      </c>
      <c r="O374">
        <v>4.7619047620000003</v>
      </c>
      <c r="P374">
        <v>41.625</v>
      </c>
      <c r="Q374">
        <v>4.4000000000000004</v>
      </c>
      <c r="R374" s="3">
        <f t="shared" si="16"/>
        <v>43477.475694444445</v>
      </c>
      <c r="S374" t="str">
        <f t="shared" si="18"/>
        <v/>
      </c>
      <c r="T374" t="str">
        <f t="shared" si="17"/>
        <v/>
      </c>
    </row>
    <row r="375" spans="1:20">
      <c r="A375" t="s">
        <v>899</v>
      </c>
      <c r="B375" t="s">
        <v>41</v>
      </c>
      <c r="C375" t="s">
        <v>42</v>
      </c>
      <c r="D375" t="s">
        <v>27</v>
      </c>
      <c r="E375" t="s">
        <v>21</v>
      </c>
      <c r="F375" t="s">
        <v>31</v>
      </c>
      <c r="G375">
        <v>51.07</v>
      </c>
      <c r="H375">
        <v>7</v>
      </c>
      <c r="I375">
        <v>17.874500000000001</v>
      </c>
      <c r="J375">
        <v>375.36450000000002</v>
      </c>
      <c r="K375" s="1">
        <v>43477</v>
      </c>
      <c r="L375" s="2">
        <v>0.48749999999999999</v>
      </c>
      <c r="M375" t="s">
        <v>29</v>
      </c>
      <c r="N375">
        <v>357.49</v>
      </c>
      <c r="O375">
        <v>4.7619047620000003</v>
      </c>
      <c r="P375">
        <v>17.874500000000001</v>
      </c>
      <c r="Q375">
        <v>7</v>
      </c>
      <c r="R375" s="3">
        <f t="shared" si="16"/>
        <v>43477.487500000003</v>
      </c>
      <c r="S375">
        <f t="shared" si="18"/>
        <v>17.000000003026798</v>
      </c>
      <c r="T375">
        <f t="shared" si="17"/>
        <v>17</v>
      </c>
    </row>
    <row r="376" spans="1:20">
      <c r="A376" t="s">
        <v>836</v>
      </c>
      <c r="B376" t="s">
        <v>41</v>
      </c>
      <c r="C376" t="s">
        <v>42</v>
      </c>
      <c r="D376" t="s">
        <v>27</v>
      </c>
      <c r="E376" t="s">
        <v>177</v>
      </c>
      <c r="F376" t="s">
        <v>35</v>
      </c>
      <c r="G376">
        <v>23.01</v>
      </c>
      <c r="H376">
        <v>6</v>
      </c>
      <c r="I376">
        <v>6.9029999999999996</v>
      </c>
      <c r="J376">
        <v>144.96299999999999</v>
      </c>
      <c r="K376" s="1">
        <v>43477</v>
      </c>
      <c r="L376" s="2">
        <v>0.69791666666666663</v>
      </c>
      <c r="M376" t="s">
        <v>23</v>
      </c>
      <c r="N376">
        <v>138.06</v>
      </c>
      <c r="O376">
        <v>4.7619047620000003</v>
      </c>
      <c r="P376">
        <v>6.9029999999999996</v>
      </c>
      <c r="Q376">
        <v>7.9</v>
      </c>
      <c r="R376" s="3">
        <f t="shared" si="16"/>
        <v>43477.697916666664</v>
      </c>
      <c r="S376">
        <f t="shared" si="18"/>
        <v>302.99999999231659</v>
      </c>
      <c r="T376">
        <f t="shared" si="17"/>
        <v>303</v>
      </c>
    </row>
    <row r="377" spans="1:20">
      <c r="A377" t="s">
        <v>454</v>
      </c>
      <c r="B377" t="s">
        <v>41</v>
      </c>
      <c r="C377" t="s">
        <v>42</v>
      </c>
      <c r="D377" t="s">
        <v>27</v>
      </c>
      <c r="E377" t="s">
        <v>21</v>
      </c>
      <c r="F377" t="s">
        <v>22</v>
      </c>
      <c r="G377">
        <v>57.22</v>
      </c>
      <c r="H377">
        <v>2</v>
      </c>
      <c r="I377">
        <v>5.7220000000000004</v>
      </c>
      <c r="J377">
        <v>120.16200000000001</v>
      </c>
      <c r="K377" s="1">
        <v>43477</v>
      </c>
      <c r="L377" s="2">
        <v>0.71736111111111112</v>
      </c>
      <c r="M377" t="s">
        <v>23</v>
      </c>
      <c r="N377">
        <v>114.44</v>
      </c>
      <c r="O377">
        <v>4.7619047620000003</v>
      </c>
      <c r="P377">
        <v>5.7220000000000004</v>
      </c>
      <c r="Q377">
        <v>8.3000000000000007</v>
      </c>
      <c r="R377" s="3">
        <f t="shared" si="16"/>
        <v>43477.717361111114</v>
      </c>
      <c r="S377">
        <f t="shared" si="18"/>
        <v>28.000000007450581</v>
      </c>
      <c r="T377">
        <f t="shared" si="17"/>
        <v>28</v>
      </c>
    </row>
    <row r="378" spans="1:20">
      <c r="A378" t="s">
        <v>774</v>
      </c>
      <c r="B378" t="s">
        <v>41</v>
      </c>
      <c r="C378" t="s">
        <v>42</v>
      </c>
      <c r="D378" t="s">
        <v>20</v>
      </c>
      <c r="E378" t="s">
        <v>177</v>
      </c>
      <c r="F378" t="s">
        <v>28</v>
      </c>
      <c r="G378">
        <v>91.56</v>
      </c>
      <c r="H378">
        <v>8</v>
      </c>
      <c r="I378">
        <v>36.624000000000002</v>
      </c>
      <c r="J378">
        <v>769.10400000000004</v>
      </c>
      <c r="K378" s="1">
        <v>43477</v>
      </c>
      <c r="L378" s="2">
        <v>0.76527777777777772</v>
      </c>
      <c r="M378" t="s">
        <v>23</v>
      </c>
      <c r="N378">
        <v>732.48</v>
      </c>
      <c r="O378">
        <v>4.7619047620000003</v>
      </c>
      <c r="P378">
        <v>36.624000000000002</v>
      </c>
      <c r="Q378">
        <v>6</v>
      </c>
      <c r="R378" s="3">
        <f t="shared" si="16"/>
        <v>43477.765277777777</v>
      </c>
      <c r="S378">
        <f t="shared" si="18"/>
        <v>68.999999994412065</v>
      </c>
      <c r="T378">
        <f t="shared" si="17"/>
        <v>69</v>
      </c>
    </row>
    <row r="379" spans="1:20">
      <c r="A379" t="s">
        <v>484</v>
      </c>
      <c r="B379" t="s">
        <v>41</v>
      </c>
      <c r="C379" t="s">
        <v>42</v>
      </c>
      <c r="D379" t="s">
        <v>20</v>
      </c>
      <c r="E379" t="s">
        <v>21</v>
      </c>
      <c r="F379" t="s">
        <v>22</v>
      </c>
      <c r="G379">
        <v>27.07</v>
      </c>
      <c r="H379">
        <v>1</v>
      </c>
      <c r="I379">
        <v>1.3534999999999999</v>
      </c>
      <c r="J379">
        <v>28.423500000000001</v>
      </c>
      <c r="K379" s="1">
        <v>43477</v>
      </c>
      <c r="L379" s="2">
        <v>0.83819444444444446</v>
      </c>
      <c r="M379" t="s">
        <v>32</v>
      </c>
      <c r="N379">
        <v>27.07</v>
      </c>
      <c r="O379">
        <v>4.7619047620000003</v>
      </c>
      <c r="P379">
        <v>1.3534999999999999</v>
      </c>
      <c r="Q379">
        <v>5.3</v>
      </c>
      <c r="R379" s="3">
        <f t="shared" si="16"/>
        <v>43477.838194444441</v>
      </c>
      <c r="S379">
        <f t="shared" si="18"/>
        <v>104.99999999650754</v>
      </c>
      <c r="T379">
        <f t="shared" si="17"/>
        <v>105</v>
      </c>
    </row>
    <row r="380" spans="1:20" hidden="1">
      <c r="A380" t="s">
        <v>563</v>
      </c>
      <c r="B380" t="s">
        <v>41</v>
      </c>
      <c r="C380" t="s">
        <v>42</v>
      </c>
      <c r="D380" t="s">
        <v>20</v>
      </c>
      <c r="E380" t="s">
        <v>177</v>
      </c>
      <c r="F380" t="s">
        <v>45</v>
      </c>
      <c r="G380">
        <v>59.86</v>
      </c>
      <c r="H380">
        <v>2</v>
      </c>
      <c r="I380">
        <v>5.9859999999999998</v>
      </c>
      <c r="J380">
        <v>125.706</v>
      </c>
      <c r="K380" s="1">
        <v>43478</v>
      </c>
      <c r="L380" s="2">
        <v>0.62152777777777779</v>
      </c>
      <c r="M380" t="s">
        <v>23</v>
      </c>
      <c r="N380">
        <v>119.72</v>
      </c>
      <c r="O380">
        <v>4.7619047620000003</v>
      </c>
      <c r="P380">
        <v>5.9859999999999998</v>
      </c>
      <c r="Q380">
        <v>6.7</v>
      </c>
      <c r="R380" s="3">
        <f t="shared" si="16"/>
        <v>43478.621527777781</v>
      </c>
      <c r="S380" t="str">
        <f t="shared" si="18"/>
        <v/>
      </c>
      <c r="T380" t="str">
        <f t="shared" si="17"/>
        <v/>
      </c>
    </row>
    <row r="381" spans="1:20">
      <c r="A381" t="s">
        <v>652</v>
      </c>
      <c r="B381" t="s">
        <v>41</v>
      </c>
      <c r="C381" t="s">
        <v>42</v>
      </c>
      <c r="D381" t="s">
        <v>20</v>
      </c>
      <c r="E381" t="s">
        <v>177</v>
      </c>
      <c r="F381" t="s">
        <v>35</v>
      </c>
      <c r="G381">
        <v>72.599999999999994</v>
      </c>
      <c r="H381">
        <v>6</v>
      </c>
      <c r="I381">
        <v>21.78</v>
      </c>
      <c r="J381">
        <v>457.38</v>
      </c>
      <c r="K381" s="1">
        <v>43478</v>
      </c>
      <c r="L381" s="2">
        <v>0.82708333333333328</v>
      </c>
      <c r="M381" t="s">
        <v>29</v>
      </c>
      <c r="N381">
        <v>435.6</v>
      </c>
      <c r="O381">
        <v>4.7619047620000003</v>
      </c>
      <c r="P381">
        <v>21.78</v>
      </c>
      <c r="Q381">
        <v>6.9</v>
      </c>
      <c r="R381" s="3">
        <f t="shared" si="16"/>
        <v>43478.82708333333</v>
      </c>
      <c r="S381">
        <f t="shared" si="18"/>
        <v>295.99999999045394</v>
      </c>
      <c r="T381">
        <f t="shared" si="17"/>
        <v>296</v>
      </c>
    </row>
    <row r="382" spans="1:20">
      <c r="A382" t="s">
        <v>609</v>
      </c>
      <c r="B382" t="s">
        <v>41</v>
      </c>
      <c r="C382" t="s">
        <v>42</v>
      </c>
      <c r="D382" t="s">
        <v>27</v>
      </c>
      <c r="E382" t="s">
        <v>177</v>
      </c>
      <c r="F382" t="s">
        <v>43</v>
      </c>
      <c r="G382">
        <v>72.39</v>
      </c>
      <c r="H382">
        <v>2</v>
      </c>
      <c r="I382">
        <v>7.2389999999999999</v>
      </c>
      <c r="J382">
        <v>152.01900000000001</v>
      </c>
      <c r="K382" s="1">
        <v>43478</v>
      </c>
      <c r="L382" s="2">
        <v>0.82986111111111116</v>
      </c>
      <c r="M382" t="s">
        <v>32</v>
      </c>
      <c r="N382">
        <v>144.78</v>
      </c>
      <c r="O382">
        <v>4.7619047620000003</v>
      </c>
      <c r="P382">
        <v>7.2389999999999999</v>
      </c>
      <c r="Q382">
        <v>8.1</v>
      </c>
      <c r="R382" s="3">
        <f t="shared" si="16"/>
        <v>43478.829861111109</v>
      </c>
      <c r="S382">
        <f t="shared" si="18"/>
        <v>4.0000000025611371</v>
      </c>
      <c r="T382">
        <f t="shared" si="17"/>
        <v>4</v>
      </c>
    </row>
    <row r="383" spans="1:20" hidden="1">
      <c r="A383" t="s">
        <v>717</v>
      </c>
      <c r="B383" t="s">
        <v>41</v>
      </c>
      <c r="C383" t="s">
        <v>42</v>
      </c>
      <c r="D383" t="s">
        <v>27</v>
      </c>
      <c r="E383" t="s">
        <v>21</v>
      </c>
      <c r="F383" t="s">
        <v>35</v>
      </c>
      <c r="G383">
        <v>34.81</v>
      </c>
      <c r="H383">
        <v>1</v>
      </c>
      <c r="I383">
        <v>1.7404999999999999</v>
      </c>
      <c r="J383">
        <v>36.5505</v>
      </c>
      <c r="K383" s="1">
        <v>43479</v>
      </c>
      <c r="L383" s="2">
        <v>0.42430555555555555</v>
      </c>
      <c r="M383" t="s">
        <v>32</v>
      </c>
      <c r="N383">
        <v>34.81</v>
      </c>
      <c r="O383">
        <v>4.7619047620000003</v>
      </c>
      <c r="P383">
        <v>1.7404999999999999</v>
      </c>
      <c r="Q383">
        <v>7</v>
      </c>
      <c r="R383" s="3">
        <f t="shared" si="16"/>
        <v>43479.424305555556</v>
      </c>
      <c r="S383" t="str">
        <f t="shared" si="18"/>
        <v/>
      </c>
      <c r="T383" t="str">
        <f t="shared" si="17"/>
        <v/>
      </c>
    </row>
    <row r="384" spans="1:20">
      <c r="A384" t="s">
        <v>844</v>
      </c>
      <c r="B384" t="s">
        <v>41</v>
      </c>
      <c r="C384" t="s">
        <v>42</v>
      </c>
      <c r="D384" t="s">
        <v>27</v>
      </c>
      <c r="E384" t="s">
        <v>21</v>
      </c>
      <c r="F384" t="s">
        <v>22</v>
      </c>
      <c r="G384">
        <v>17.75</v>
      </c>
      <c r="H384">
        <v>1</v>
      </c>
      <c r="I384">
        <v>0.88749999999999996</v>
      </c>
      <c r="J384">
        <v>18.637499999999999</v>
      </c>
      <c r="K384" s="1">
        <v>43479</v>
      </c>
      <c r="L384" s="2">
        <v>0.44305555555555554</v>
      </c>
      <c r="M384" t="s">
        <v>29</v>
      </c>
      <c r="N384">
        <v>17.75</v>
      </c>
      <c r="O384">
        <v>4.7619047620000003</v>
      </c>
      <c r="P384">
        <v>0.88749999999999996</v>
      </c>
      <c r="Q384">
        <v>8.6</v>
      </c>
      <c r="R384" s="3">
        <f t="shared" si="16"/>
        <v>43479.443055555559</v>
      </c>
      <c r="S384">
        <f t="shared" si="18"/>
        <v>27.000000004190952</v>
      </c>
      <c r="T384">
        <f t="shared" si="17"/>
        <v>27</v>
      </c>
    </row>
    <row r="385" spans="1:20">
      <c r="A385" t="s">
        <v>418</v>
      </c>
      <c r="B385" t="s">
        <v>41</v>
      </c>
      <c r="C385" t="s">
        <v>42</v>
      </c>
      <c r="D385" t="s">
        <v>27</v>
      </c>
      <c r="E385" t="s">
        <v>21</v>
      </c>
      <c r="F385" t="s">
        <v>43</v>
      </c>
      <c r="G385">
        <v>99.69</v>
      </c>
      <c r="H385">
        <v>5</v>
      </c>
      <c r="I385">
        <v>24.922499999999999</v>
      </c>
      <c r="J385">
        <v>523.37249999999995</v>
      </c>
      <c r="K385" s="1">
        <v>43479</v>
      </c>
      <c r="L385" s="2">
        <v>0.50624999999999998</v>
      </c>
      <c r="M385" t="s">
        <v>29</v>
      </c>
      <c r="N385">
        <v>498.45</v>
      </c>
      <c r="O385">
        <v>4.7619047620000003</v>
      </c>
      <c r="P385">
        <v>24.922499999999999</v>
      </c>
      <c r="Q385">
        <v>9.9</v>
      </c>
      <c r="R385" s="3">
        <f t="shared" si="16"/>
        <v>43479.506249999999</v>
      </c>
      <c r="S385">
        <f t="shared" si="18"/>
        <v>90.99999999278225</v>
      </c>
      <c r="T385">
        <f t="shared" si="17"/>
        <v>91</v>
      </c>
    </row>
    <row r="386" spans="1:20">
      <c r="A386" t="s">
        <v>619</v>
      </c>
      <c r="B386" t="s">
        <v>41</v>
      </c>
      <c r="C386" t="s">
        <v>42</v>
      </c>
      <c r="D386" t="s">
        <v>20</v>
      </c>
      <c r="E386" t="s">
        <v>21</v>
      </c>
      <c r="F386" t="s">
        <v>45</v>
      </c>
      <c r="G386">
        <v>18.079999999999998</v>
      </c>
      <c r="H386">
        <v>4</v>
      </c>
      <c r="I386">
        <v>3.6160000000000001</v>
      </c>
      <c r="J386">
        <v>75.936000000000007</v>
      </c>
      <c r="K386" s="1">
        <v>43479</v>
      </c>
      <c r="L386" s="2">
        <v>0.75208333333333333</v>
      </c>
      <c r="M386" t="s">
        <v>32</v>
      </c>
      <c r="N386">
        <v>72.319999999999993</v>
      </c>
      <c r="O386">
        <v>4.7619047620000003</v>
      </c>
      <c r="P386">
        <v>3.6160000000000001</v>
      </c>
      <c r="Q386">
        <v>9.5</v>
      </c>
      <c r="R386" s="3">
        <f t="shared" ref="R386:R449" si="19">K386+L386</f>
        <v>43479.752083333333</v>
      </c>
      <c r="S386">
        <f t="shared" si="18"/>
        <v>354.00000000139698</v>
      </c>
      <c r="T386">
        <f t="shared" si="17"/>
        <v>354</v>
      </c>
    </row>
    <row r="387" spans="1:20">
      <c r="A387" t="s">
        <v>285</v>
      </c>
      <c r="B387" t="s">
        <v>41</v>
      </c>
      <c r="C387" t="s">
        <v>42</v>
      </c>
      <c r="D387" t="s">
        <v>27</v>
      </c>
      <c r="E387" t="s">
        <v>177</v>
      </c>
      <c r="F387" t="s">
        <v>43</v>
      </c>
      <c r="G387">
        <v>73.06</v>
      </c>
      <c r="H387">
        <v>7</v>
      </c>
      <c r="I387">
        <v>25.571000000000002</v>
      </c>
      <c r="J387">
        <v>536.99099999999999</v>
      </c>
      <c r="K387" s="1">
        <v>43479</v>
      </c>
      <c r="L387" s="2">
        <v>0.79583333333333328</v>
      </c>
      <c r="M387" t="s">
        <v>32</v>
      </c>
      <c r="N387">
        <v>511.42</v>
      </c>
      <c r="O387">
        <v>4.7619047620000003</v>
      </c>
      <c r="P387">
        <v>25.571000000000002</v>
      </c>
      <c r="Q387">
        <v>4.2</v>
      </c>
      <c r="R387" s="3">
        <f t="shared" si="19"/>
        <v>43479.79583333333</v>
      </c>
      <c r="S387">
        <f t="shared" si="18"/>
        <v>62.999999995809048</v>
      </c>
      <c r="T387">
        <f t="shared" ref="T387:T450" si="20">IF(S387="","",ROUND(S387,2))</f>
        <v>63</v>
      </c>
    </row>
    <row r="388" spans="1:20" hidden="1">
      <c r="A388" t="s">
        <v>227</v>
      </c>
      <c r="B388" t="s">
        <v>41</v>
      </c>
      <c r="C388" t="s">
        <v>42</v>
      </c>
      <c r="D388" t="s">
        <v>27</v>
      </c>
      <c r="E388" t="s">
        <v>21</v>
      </c>
      <c r="F388" t="s">
        <v>45</v>
      </c>
      <c r="G388">
        <v>73.52</v>
      </c>
      <c r="H388">
        <v>2</v>
      </c>
      <c r="I388">
        <v>7.3520000000000003</v>
      </c>
      <c r="J388">
        <v>154.392</v>
      </c>
      <c r="K388" s="1">
        <v>43480</v>
      </c>
      <c r="L388" s="2">
        <v>0.57013888888888886</v>
      </c>
      <c r="M388" t="s">
        <v>23</v>
      </c>
      <c r="N388">
        <v>147.04</v>
      </c>
      <c r="O388">
        <v>4.7619047620000003</v>
      </c>
      <c r="P388">
        <v>7.3520000000000003</v>
      </c>
      <c r="Q388">
        <v>4.5999999999999996</v>
      </c>
      <c r="R388" s="3">
        <f t="shared" si="19"/>
        <v>43480.570138888892</v>
      </c>
      <c r="S388" t="str">
        <f t="shared" si="18"/>
        <v/>
      </c>
      <c r="T388" t="str">
        <f t="shared" si="20"/>
        <v/>
      </c>
    </row>
    <row r="389" spans="1:20">
      <c r="A389" t="s">
        <v>828</v>
      </c>
      <c r="B389" t="s">
        <v>41</v>
      </c>
      <c r="C389" t="s">
        <v>42</v>
      </c>
      <c r="D389" t="s">
        <v>27</v>
      </c>
      <c r="E389" t="s">
        <v>21</v>
      </c>
      <c r="F389" t="s">
        <v>31</v>
      </c>
      <c r="G389">
        <v>97.37</v>
      </c>
      <c r="H389">
        <v>10</v>
      </c>
      <c r="I389">
        <v>48.685000000000002</v>
      </c>
      <c r="J389">
        <v>1022.385</v>
      </c>
      <c r="K389" s="1">
        <v>43480</v>
      </c>
      <c r="L389" s="2">
        <v>0.57499999999999996</v>
      </c>
      <c r="M389" t="s">
        <v>32</v>
      </c>
      <c r="N389">
        <v>973.7</v>
      </c>
      <c r="O389">
        <v>4.7619047620000003</v>
      </c>
      <c r="P389">
        <v>48.685000000000002</v>
      </c>
      <c r="Q389">
        <v>4.9000000000000004</v>
      </c>
      <c r="R389" s="3">
        <f t="shared" si="19"/>
        <v>43480.574999999997</v>
      </c>
      <c r="S389">
        <f t="shared" si="18"/>
        <v>6.9999999913852662</v>
      </c>
      <c r="T389">
        <f t="shared" si="20"/>
        <v>7</v>
      </c>
    </row>
    <row r="390" spans="1:20">
      <c r="A390" t="s">
        <v>671</v>
      </c>
      <c r="B390" t="s">
        <v>41</v>
      </c>
      <c r="C390" t="s">
        <v>42</v>
      </c>
      <c r="D390" t="s">
        <v>20</v>
      </c>
      <c r="E390" t="s">
        <v>177</v>
      </c>
      <c r="F390" t="s">
        <v>22</v>
      </c>
      <c r="G390">
        <v>66.47</v>
      </c>
      <c r="H390">
        <v>10</v>
      </c>
      <c r="I390">
        <v>33.234999999999999</v>
      </c>
      <c r="J390">
        <v>697.93499999999995</v>
      </c>
      <c r="K390" s="1">
        <v>43480</v>
      </c>
      <c r="L390" s="2">
        <v>0.62569444444444444</v>
      </c>
      <c r="M390" t="s">
        <v>32</v>
      </c>
      <c r="N390">
        <v>664.7</v>
      </c>
      <c r="O390">
        <v>4.7619047620000003</v>
      </c>
      <c r="P390">
        <v>33.234999999999999</v>
      </c>
      <c r="Q390">
        <v>5</v>
      </c>
      <c r="R390" s="3">
        <f t="shared" si="19"/>
        <v>43480.625694444447</v>
      </c>
      <c r="S390">
        <f t="shared" si="18"/>
        <v>73.000000007450581</v>
      </c>
      <c r="T390">
        <f t="shared" si="20"/>
        <v>73</v>
      </c>
    </row>
    <row r="391" spans="1:20">
      <c r="A391" t="s">
        <v>50</v>
      </c>
      <c r="B391" t="s">
        <v>41</v>
      </c>
      <c r="C391" t="s">
        <v>42</v>
      </c>
      <c r="D391" t="s">
        <v>20</v>
      </c>
      <c r="E391" t="s">
        <v>21</v>
      </c>
      <c r="F391" t="s">
        <v>35</v>
      </c>
      <c r="G391">
        <v>93.72</v>
      </c>
      <c r="H391">
        <v>6</v>
      </c>
      <c r="I391">
        <v>28.116</v>
      </c>
      <c r="J391">
        <v>590.43600000000004</v>
      </c>
      <c r="K391" s="1">
        <v>43480</v>
      </c>
      <c r="L391" s="2">
        <v>0.67986111111111114</v>
      </c>
      <c r="M391" t="s">
        <v>29</v>
      </c>
      <c r="N391">
        <v>562.32000000000005</v>
      </c>
      <c r="O391">
        <v>4.7619047620000003</v>
      </c>
      <c r="P391">
        <v>28.116</v>
      </c>
      <c r="Q391">
        <v>4.5</v>
      </c>
      <c r="R391" s="3">
        <f t="shared" si="19"/>
        <v>43480.679861111108</v>
      </c>
      <c r="S391">
        <f t="shared" si="18"/>
        <v>77.999999992316589</v>
      </c>
      <c r="T391">
        <f t="shared" si="20"/>
        <v>78</v>
      </c>
    </row>
    <row r="392" spans="1:20">
      <c r="A392" t="s">
        <v>686</v>
      </c>
      <c r="B392" t="s">
        <v>41</v>
      </c>
      <c r="C392" t="s">
        <v>42</v>
      </c>
      <c r="D392" t="s">
        <v>27</v>
      </c>
      <c r="E392" t="s">
        <v>177</v>
      </c>
      <c r="F392" t="s">
        <v>28</v>
      </c>
      <c r="G392">
        <v>75.66</v>
      </c>
      <c r="H392">
        <v>5</v>
      </c>
      <c r="I392">
        <v>18.914999999999999</v>
      </c>
      <c r="J392">
        <v>397.21499999999997</v>
      </c>
      <c r="K392" s="1">
        <v>43480</v>
      </c>
      <c r="L392" s="2">
        <v>0.76527777777777772</v>
      </c>
      <c r="M392" t="s">
        <v>23</v>
      </c>
      <c r="N392">
        <v>378.3</v>
      </c>
      <c r="O392">
        <v>4.7619047620000003</v>
      </c>
      <c r="P392">
        <v>18.914999999999999</v>
      </c>
      <c r="Q392">
        <v>7.8</v>
      </c>
      <c r="R392" s="3">
        <f t="shared" si="19"/>
        <v>43480.765277777777</v>
      </c>
      <c r="S392">
        <f t="shared" si="18"/>
        <v>123.00000000279397</v>
      </c>
      <c r="T392">
        <f t="shared" si="20"/>
        <v>123</v>
      </c>
    </row>
    <row r="393" spans="1:20" hidden="1">
      <c r="A393" t="s">
        <v>152</v>
      </c>
      <c r="B393" t="s">
        <v>41</v>
      </c>
      <c r="C393" t="s">
        <v>42</v>
      </c>
      <c r="D393" t="s">
        <v>20</v>
      </c>
      <c r="E393" t="s">
        <v>21</v>
      </c>
      <c r="F393" t="s">
        <v>45</v>
      </c>
      <c r="G393">
        <v>51.36</v>
      </c>
      <c r="H393">
        <v>1</v>
      </c>
      <c r="I393">
        <v>2.5680000000000001</v>
      </c>
      <c r="J393">
        <v>53.927999999999997</v>
      </c>
      <c r="K393" s="1">
        <v>43481</v>
      </c>
      <c r="L393" s="2">
        <v>0.6430555555555556</v>
      </c>
      <c r="M393" t="s">
        <v>23</v>
      </c>
      <c r="N393">
        <v>51.36</v>
      </c>
      <c r="O393">
        <v>4.7619047620000003</v>
      </c>
      <c r="P393">
        <v>2.5680000000000001</v>
      </c>
      <c r="Q393">
        <v>5.2</v>
      </c>
      <c r="R393" s="3">
        <f t="shared" si="19"/>
        <v>43481.643055555556</v>
      </c>
      <c r="S393" t="str">
        <f t="shared" si="18"/>
        <v/>
      </c>
      <c r="T393" t="str">
        <f t="shared" si="20"/>
        <v/>
      </c>
    </row>
    <row r="394" spans="1:20">
      <c r="A394" t="s">
        <v>546</v>
      </c>
      <c r="B394" t="s">
        <v>41</v>
      </c>
      <c r="C394" t="s">
        <v>42</v>
      </c>
      <c r="D394" t="s">
        <v>20</v>
      </c>
      <c r="E394" t="s">
        <v>21</v>
      </c>
      <c r="F394" t="s">
        <v>35</v>
      </c>
      <c r="G394">
        <v>90.74</v>
      </c>
      <c r="H394">
        <v>7</v>
      </c>
      <c r="I394">
        <v>31.759</v>
      </c>
      <c r="J394">
        <v>666.93899999999996</v>
      </c>
      <c r="K394" s="1">
        <v>43481</v>
      </c>
      <c r="L394" s="2">
        <v>0.75208333333333333</v>
      </c>
      <c r="M394" t="s">
        <v>32</v>
      </c>
      <c r="N394">
        <v>635.17999999999995</v>
      </c>
      <c r="O394">
        <v>4.7619047620000003</v>
      </c>
      <c r="P394">
        <v>31.759</v>
      </c>
      <c r="Q394">
        <v>6.2</v>
      </c>
      <c r="R394" s="3">
        <f t="shared" si="19"/>
        <v>43481.752083333333</v>
      </c>
      <c r="S394">
        <f t="shared" si="18"/>
        <v>156.99999999837019</v>
      </c>
      <c r="T394">
        <f t="shared" si="20"/>
        <v>157</v>
      </c>
    </row>
    <row r="395" spans="1:20">
      <c r="A395" t="s">
        <v>562</v>
      </c>
      <c r="B395" t="s">
        <v>41</v>
      </c>
      <c r="C395" t="s">
        <v>42</v>
      </c>
      <c r="D395" t="s">
        <v>27</v>
      </c>
      <c r="E395" t="s">
        <v>177</v>
      </c>
      <c r="F395" t="s">
        <v>45</v>
      </c>
      <c r="G395">
        <v>39.21</v>
      </c>
      <c r="H395">
        <v>4</v>
      </c>
      <c r="I395">
        <v>7.8419999999999996</v>
      </c>
      <c r="J395">
        <v>164.68199999999999</v>
      </c>
      <c r="K395" s="1">
        <v>43481</v>
      </c>
      <c r="L395" s="2">
        <v>0.8354166666666667</v>
      </c>
      <c r="M395" t="s">
        <v>32</v>
      </c>
      <c r="N395">
        <v>156.84</v>
      </c>
      <c r="O395">
        <v>4.7619047620000003</v>
      </c>
      <c r="P395">
        <v>7.8419999999999996</v>
      </c>
      <c r="Q395">
        <v>9</v>
      </c>
      <c r="R395" s="3">
        <f t="shared" si="19"/>
        <v>43481.835416666669</v>
      </c>
      <c r="S395">
        <f t="shared" si="18"/>
        <v>120.00000000349246</v>
      </c>
      <c r="T395">
        <f t="shared" si="20"/>
        <v>120</v>
      </c>
    </row>
    <row r="396" spans="1:20" hidden="1">
      <c r="A396" t="s">
        <v>705</v>
      </c>
      <c r="B396" t="s">
        <v>41</v>
      </c>
      <c r="C396" t="s">
        <v>42</v>
      </c>
      <c r="D396" t="s">
        <v>27</v>
      </c>
      <c r="E396" t="s">
        <v>21</v>
      </c>
      <c r="F396" t="s">
        <v>35</v>
      </c>
      <c r="G396">
        <v>40.619999999999997</v>
      </c>
      <c r="H396">
        <v>2</v>
      </c>
      <c r="I396">
        <v>4.0620000000000003</v>
      </c>
      <c r="J396">
        <v>85.302000000000007</v>
      </c>
      <c r="K396" s="1">
        <v>43482</v>
      </c>
      <c r="L396" s="2">
        <v>0.41736111111111113</v>
      </c>
      <c r="M396" t="s">
        <v>32</v>
      </c>
      <c r="N396">
        <v>81.239999999999995</v>
      </c>
      <c r="O396">
        <v>4.7619047620000003</v>
      </c>
      <c r="P396">
        <v>4.0620000000000003</v>
      </c>
      <c r="Q396">
        <v>4.0999999999999996</v>
      </c>
      <c r="R396" s="3">
        <f t="shared" si="19"/>
        <v>43482.417361111111</v>
      </c>
      <c r="S396" t="str">
        <f t="shared" si="18"/>
        <v/>
      </c>
      <c r="T396" t="str">
        <f t="shared" si="20"/>
        <v/>
      </c>
    </row>
    <row r="397" spans="1:20">
      <c r="A397" t="s">
        <v>645</v>
      </c>
      <c r="B397" t="s">
        <v>41</v>
      </c>
      <c r="C397" t="s">
        <v>42</v>
      </c>
      <c r="D397" t="s">
        <v>20</v>
      </c>
      <c r="E397" t="s">
        <v>177</v>
      </c>
      <c r="F397" t="s">
        <v>43</v>
      </c>
      <c r="G397">
        <v>57.89</v>
      </c>
      <c r="H397">
        <v>2</v>
      </c>
      <c r="I397">
        <v>5.7889999999999997</v>
      </c>
      <c r="J397">
        <v>121.569</v>
      </c>
      <c r="K397" s="1">
        <v>43482</v>
      </c>
      <c r="L397" s="2">
        <v>0.44236111111111109</v>
      </c>
      <c r="M397" t="s">
        <v>23</v>
      </c>
      <c r="N397">
        <v>115.78</v>
      </c>
      <c r="O397">
        <v>4.7619047620000003</v>
      </c>
      <c r="P397">
        <v>5.7889999999999997</v>
      </c>
      <c r="Q397">
        <v>8.9</v>
      </c>
      <c r="R397" s="3">
        <f t="shared" si="19"/>
        <v>43482.442361111112</v>
      </c>
      <c r="S397">
        <f t="shared" si="18"/>
        <v>36.000000002095476</v>
      </c>
      <c r="T397">
        <f t="shared" si="20"/>
        <v>36</v>
      </c>
    </row>
    <row r="398" spans="1:20">
      <c r="A398" t="s">
        <v>658</v>
      </c>
      <c r="B398" t="s">
        <v>41</v>
      </c>
      <c r="C398" t="s">
        <v>42</v>
      </c>
      <c r="D398" t="s">
        <v>20</v>
      </c>
      <c r="E398" t="s">
        <v>21</v>
      </c>
      <c r="F398" t="s">
        <v>31</v>
      </c>
      <c r="G398">
        <v>94.59</v>
      </c>
      <c r="H398">
        <v>7</v>
      </c>
      <c r="I398">
        <v>33.106499999999997</v>
      </c>
      <c r="J398">
        <v>695.23649999999998</v>
      </c>
      <c r="K398" s="1">
        <v>43482</v>
      </c>
      <c r="L398" s="2">
        <v>0.64375000000000004</v>
      </c>
      <c r="M398" t="s">
        <v>32</v>
      </c>
      <c r="N398">
        <v>662.13</v>
      </c>
      <c r="O398">
        <v>4.7619047620000003</v>
      </c>
      <c r="P398">
        <v>33.106499999999997</v>
      </c>
      <c r="Q398">
        <v>4.9000000000000004</v>
      </c>
      <c r="R398" s="3">
        <f t="shared" si="19"/>
        <v>43482.643750000003</v>
      </c>
      <c r="S398">
        <f t="shared" si="18"/>
        <v>290.00000000232831</v>
      </c>
      <c r="T398">
        <f t="shared" si="20"/>
        <v>290</v>
      </c>
    </row>
    <row r="399" spans="1:20">
      <c r="A399" t="s">
        <v>75</v>
      </c>
      <c r="B399" t="s">
        <v>41</v>
      </c>
      <c r="C399" t="s">
        <v>42</v>
      </c>
      <c r="D399" t="s">
        <v>20</v>
      </c>
      <c r="E399" t="s">
        <v>21</v>
      </c>
      <c r="F399" t="s">
        <v>31</v>
      </c>
      <c r="G399">
        <v>86.72</v>
      </c>
      <c r="H399">
        <v>1</v>
      </c>
      <c r="I399">
        <v>4.3360000000000003</v>
      </c>
      <c r="J399">
        <v>91.055999999999997</v>
      </c>
      <c r="K399" s="1">
        <v>43482</v>
      </c>
      <c r="L399" s="2">
        <v>0.78125</v>
      </c>
      <c r="M399" t="s">
        <v>23</v>
      </c>
      <c r="N399">
        <v>86.72</v>
      </c>
      <c r="O399">
        <v>4.7619047620000003</v>
      </c>
      <c r="P399">
        <v>4.3360000000000003</v>
      </c>
      <c r="Q399">
        <v>7.9</v>
      </c>
      <c r="R399" s="3">
        <f t="shared" si="19"/>
        <v>43482.78125</v>
      </c>
      <c r="S399">
        <f t="shared" si="18"/>
        <v>197.99999999580905</v>
      </c>
      <c r="T399">
        <f t="shared" si="20"/>
        <v>198</v>
      </c>
    </row>
    <row r="400" spans="1:20" hidden="1">
      <c r="A400" t="s">
        <v>210</v>
      </c>
      <c r="B400" t="s">
        <v>41</v>
      </c>
      <c r="C400" t="s">
        <v>42</v>
      </c>
      <c r="D400" t="s">
        <v>27</v>
      </c>
      <c r="E400" t="s">
        <v>177</v>
      </c>
      <c r="F400" t="s">
        <v>43</v>
      </c>
      <c r="G400">
        <v>19.79</v>
      </c>
      <c r="H400">
        <v>8</v>
      </c>
      <c r="I400">
        <v>7.9160000000000004</v>
      </c>
      <c r="J400">
        <v>166.23599999999999</v>
      </c>
      <c r="K400" s="1">
        <v>43483</v>
      </c>
      <c r="L400" s="2">
        <v>0.50277777777777777</v>
      </c>
      <c r="M400" t="s">
        <v>23</v>
      </c>
      <c r="N400">
        <v>158.32</v>
      </c>
      <c r="O400">
        <v>4.7619047620000003</v>
      </c>
      <c r="P400">
        <v>7.9160000000000004</v>
      </c>
      <c r="Q400">
        <v>8.6999999999999993</v>
      </c>
      <c r="R400" s="3">
        <f t="shared" si="19"/>
        <v>43483.50277777778</v>
      </c>
      <c r="S400" t="str">
        <f t="shared" si="18"/>
        <v/>
      </c>
      <c r="T400" t="str">
        <f t="shared" si="20"/>
        <v/>
      </c>
    </row>
    <row r="401" spans="1:20">
      <c r="A401" t="s">
        <v>755</v>
      </c>
      <c r="B401" t="s">
        <v>41</v>
      </c>
      <c r="C401" t="s">
        <v>42</v>
      </c>
      <c r="D401" t="s">
        <v>20</v>
      </c>
      <c r="E401" t="s">
        <v>21</v>
      </c>
      <c r="F401" t="s">
        <v>45</v>
      </c>
      <c r="G401">
        <v>17.48</v>
      </c>
      <c r="H401">
        <v>6</v>
      </c>
      <c r="I401">
        <v>5.2439999999999998</v>
      </c>
      <c r="J401">
        <v>110.124</v>
      </c>
      <c r="K401" s="1">
        <v>43483</v>
      </c>
      <c r="L401" s="2">
        <v>0.62777777777777777</v>
      </c>
      <c r="M401" t="s">
        <v>32</v>
      </c>
      <c r="N401">
        <v>104.88</v>
      </c>
      <c r="O401">
        <v>4.7619047620000003</v>
      </c>
      <c r="P401">
        <v>5.2439999999999998</v>
      </c>
      <c r="Q401">
        <v>6.1</v>
      </c>
      <c r="R401" s="3">
        <f t="shared" si="19"/>
        <v>43483.62777777778</v>
      </c>
      <c r="S401">
        <f t="shared" ref="S401:S464" si="21">IF(K401=K400, (R401-R400)*1440, "")</f>
        <v>180</v>
      </c>
      <c r="T401">
        <f t="shared" si="20"/>
        <v>180</v>
      </c>
    </row>
    <row r="402" spans="1:20" hidden="1">
      <c r="A402" t="s">
        <v>915</v>
      </c>
      <c r="B402" t="s">
        <v>41</v>
      </c>
      <c r="C402" t="s">
        <v>42</v>
      </c>
      <c r="D402" t="s">
        <v>20</v>
      </c>
      <c r="E402" t="s">
        <v>21</v>
      </c>
      <c r="F402" t="s">
        <v>28</v>
      </c>
      <c r="G402">
        <v>12.1</v>
      </c>
      <c r="H402">
        <v>8</v>
      </c>
      <c r="I402">
        <v>4.84</v>
      </c>
      <c r="J402">
        <v>101.64</v>
      </c>
      <c r="K402" s="1">
        <v>43484</v>
      </c>
      <c r="L402" s="2">
        <v>0.4284722222222222</v>
      </c>
      <c r="M402" t="s">
        <v>23</v>
      </c>
      <c r="N402">
        <v>96.8</v>
      </c>
      <c r="O402">
        <v>4.7619047620000003</v>
      </c>
      <c r="P402">
        <v>4.84</v>
      </c>
      <c r="Q402">
        <v>8.6</v>
      </c>
      <c r="R402" s="3">
        <f t="shared" si="19"/>
        <v>43484.428472222222</v>
      </c>
      <c r="S402" t="str">
        <f t="shared" si="21"/>
        <v/>
      </c>
      <c r="T402" t="str">
        <f t="shared" si="20"/>
        <v/>
      </c>
    </row>
    <row r="403" spans="1:20">
      <c r="A403" t="s">
        <v>620</v>
      </c>
      <c r="B403" t="s">
        <v>41</v>
      </c>
      <c r="C403" t="s">
        <v>42</v>
      </c>
      <c r="D403" t="s">
        <v>27</v>
      </c>
      <c r="E403" t="s">
        <v>177</v>
      </c>
      <c r="F403" t="s">
        <v>35</v>
      </c>
      <c r="G403">
        <v>63.06</v>
      </c>
      <c r="H403">
        <v>3</v>
      </c>
      <c r="I403">
        <v>9.4589999999999996</v>
      </c>
      <c r="J403">
        <v>198.63900000000001</v>
      </c>
      <c r="K403" s="1">
        <v>43484</v>
      </c>
      <c r="L403" s="2">
        <v>0.66527777777777775</v>
      </c>
      <c r="M403" t="s">
        <v>23</v>
      </c>
      <c r="N403">
        <v>189.18</v>
      </c>
      <c r="O403">
        <v>4.7619047620000003</v>
      </c>
      <c r="P403">
        <v>9.4589999999999996</v>
      </c>
      <c r="Q403">
        <v>7</v>
      </c>
      <c r="R403" s="3">
        <f t="shared" si="19"/>
        <v>43484.665277777778</v>
      </c>
      <c r="S403">
        <f t="shared" si="21"/>
        <v>341.00000000093132</v>
      </c>
      <c r="T403">
        <f t="shared" si="20"/>
        <v>341</v>
      </c>
    </row>
    <row r="404" spans="1:20">
      <c r="A404" t="s">
        <v>209</v>
      </c>
      <c r="B404" t="s">
        <v>41</v>
      </c>
      <c r="C404" t="s">
        <v>42</v>
      </c>
      <c r="D404" t="s">
        <v>20</v>
      </c>
      <c r="E404" t="s">
        <v>177</v>
      </c>
      <c r="F404" t="s">
        <v>28</v>
      </c>
      <c r="G404">
        <v>52.89</v>
      </c>
      <c r="H404">
        <v>6</v>
      </c>
      <c r="I404">
        <v>15.867000000000001</v>
      </c>
      <c r="J404">
        <v>333.20699999999999</v>
      </c>
      <c r="K404" s="1">
        <v>43484</v>
      </c>
      <c r="L404" s="2">
        <v>0.7319444444444444</v>
      </c>
      <c r="M404" t="s">
        <v>32</v>
      </c>
      <c r="N404">
        <v>317.33999999999997</v>
      </c>
      <c r="O404">
        <v>4.7619047620000003</v>
      </c>
      <c r="P404">
        <v>15.867000000000001</v>
      </c>
      <c r="Q404">
        <v>9.8000000000000007</v>
      </c>
      <c r="R404" s="3">
        <f t="shared" si="19"/>
        <v>43484.731944444444</v>
      </c>
      <c r="S404">
        <f t="shared" si="21"/>
        <v>95.999999998603016</v>
      </c>
      <c r="T404">
        <f t="shared" si="20"/>
        <v>96</v>
      </c>
    </row>
    <row r="405" spans="1:20" hidden="1">
      <c r="A405" t="s">
        <v>591</v>
      </c>
      <c r="B405" t="s">
        <v>41</v>
      </c>
      <c r="C405" t="s">
        <v>42</v>
      </c>
      <c r="D405" t="s">
        <v>27</v>
      </c>
      <c r="E405" t="s">
        <v>177</v>
      </c>
      <c r="F405" t="s">
        <v>31</v>
      </c>
      <c r="G405">
        <v>37.479999999999997</v>
      </c>
      <c r="H405">
        <v>3</v>
      </c>
      <c r="I405">
        <v>5.6219999999999999</v>
      </c>
      <c r="J405">
        <v>118.062</v>
      </c>
      <c r="K405" s="1">
        <v>43485</v>
      </c>
      <c r="L405" s="2">
        <v>0.57291666666666663</v>
      </c>
      <c r="M405" t="s">
        <v>32</v>
      </c>
      <c r="N405">
        <v>112.44</v>
      </c>
      <c r="O405">
        <v>4.7619047620000003</v>
      </c>
      <c r="P405">
        <v>5.6219999999999999</v>
      </c>
      <c r="Q405">
        <v>7.7</v>
      </c>
      <c r="R405" s="3">
        <f t="shared" si="19"/>
        <v>43485.572916666664</v>
      </c>
      <c r="S405" t="str">
        <f t="shared" si="21"/>
        <v/>
      </c>
      <c r="T405" t="str">
        <f t="shared" si="20"/>
        <v/>
      </c>
    </row>
    <row r="406" spans="1:20">
      <c r="A406" t="s">
        <v>154</v>
      </c>
      <c r="B406" t="s">
        <v>41</v>
      </c>
      <c r="C406" t="s">
        <v>42</v>
      </c>
      <c r="D406" t="s">
        <v>20</v>
      </c>
      <c r="E406" t="s">
        <v>21</v>
      </c>
      <c r="F406" t="s">
        <v>31</v>
      </c>
      <c r="G406">
        <v>53.44</v>
      </c>
      <c r="H406">
        <v>2</v>
      </c>
      <c r="I406">
        <v>5.3440000000000003</v>
      </c>
      <c r="J406">
        <v>112.224</v>
      </c>
      <c r="K406" s="1">
        <v>43485</v>
      </c>
      <c r="L406" s="2">
        <v>0.85972222222222228</v>
      </c>
      <c r="M406" t="s">
        <v>23</v>
      </c>
      <c r="N406">
        <v>106.88</v>
      </c>
      <c r="O406">
        <v>4.7619047620000003</v>
      </c>
      <c r="P406">
        <v>5.3440000000000003</v>
      </c>
      <c r="Q406">
        <v>4.0999999999999996</v>
      </c>
      <c r="R406" s="3">
        <f t="shared" si="19"/>
        <v>43485.859722222223</v>
      </c>
      <c r="S406">
        <f t="shared" si="21"/>
        <v>413.00000000512227</v>
      </c>
      <c r="T406">
        <f t="shared" si="20"/>
        <v>413</v>
      </c>
    </row>
    <row r="407" spans="1:20" hidden="1">
      <c r="A407" t="s">
        <v>534</v>
      </c>
      <c r="B407" t="s">
        <v>41</v>
      </c>
      <c r="C407" t="s">
        <v>42</v>
      </c>
      <c r="D407" t="s">
        <v>20</v>
      </c>
      <c r="E407" t="s">
        <v>21</v>
      </c>
      <c r="F407" t="s">
        <v>35</v>
      </c>
      <c r="G407">
        <v>98.13</v>
      </c>
      <c r="H407">
        <v>1</v>
      </c>
      <c r="I407">
        <v>4.9065000000000003</v>
      </c>
      <c r="J407">
        <v>103.0365</v>
      </c>
      <c r="K407" s="1">
        <v>43486</v>
      </c>
      <c r="L407" s="2">
        <v>0.73333333333333328</v>
      </c>
      <c r="M407" t="s">
        <v>29</v>
      </c>
      <c r="N407">
        <v>98.13</v>
      </c>
      <c r="O407">
        <v>4.7619047620000003</v>
      </c>
      <c r="P407">
        <v>4.9065000000000003</v>
      </c>
      <c r="Q407">
        <v>8.9</v>
      </c>
      <c r="R407" s="3">
        <f t="shared" si="19"/>
        <v>43486.73333333333</v>
      </c>
      <c r="S407" t="str">
        <f t="shared" si="21"/>
        <v/>
      </c>
      <c r="T407" t="str">
        <f t="shared" si="20"/>
        <v/>
      </c>
    </row>
    <row r="408" spans="1:20" hidden="1">
      <c r="A408" t="s">
        <v>687</v>
      </c>
      <c r="B408" t="s">
        <v>41</v>
      </c>
      <c r="C408" t="s">
        <v>42</v>
      </c>
      <c r="D408" t="s">
        <v>27</v>
      </c>
      <c r="E408" t="s">
        <v>21</v>
      </c>
      <c r="F408" t="s">
        <v>22</v>
      </c>
      <c r="G408">
        <v>55.81</v>
      </c>
      <c r="H408">
        <v>6</v>
      </c>
      <c r="I408">
        <v>16.742999999999999</v>
      </c>
      <c r="J408">
        <v>351.60300000000001</v>
      </c>
      <c r="K408" s="1">
        <v>43487</v>
      </c>
      <c r="L408" s="2">
        <v>0.49444444444444446</v>
      </c>
      <c r="M408" t="s">
        <v>29</v>
      </c>
      <c r="N408">
        <v>334.86</v>
      </c>
      <c r="O408">
        <v>4.7619047620000003</v>
      </c>
      <c r="P408">
        <v>16.742999999999999</v>
      </c>
      <c r="Q408">
        <v>9.9</v>
      </c>
      <c r="R408" s="3">
        <f t="shared" si="19"/>
        <v>43487.494444444441</v>
      </c>
      <c r="S408" t="str">
        <f t="shared" si="21"/>
        <v/>
      </c>
      <c r="T408" t="str">
        <f t="shared" si="20"/>
        <v/>
      </c>
    </row>
    <row r="409" spans="1:20">
      <c r="A409" t="s">
        <v>811</v>
      </c>
      <c r="B409" t="s">
        <v>41</v>
      </c>
      <c r="C409" t="s">
        <v>42</v>
      </c>
      <c r="D409" t="s">
        <v>27</v>
      </c>
      <c r="E409" t="s">
        <v>21</v>
      </c>
      <c r="F409" t="s">
        <v>43</v>
      </c>
      <c r="G409">
        <v>28.86</v>
      </c>
      <c r="H409">
        <v>5</v>
      </c>
      <c r="I409">
        <v>7.2149999999999999</v>
      </c>
      <c r="J409">
        <v>151.51499999999999</v>
      </c>
      <c r="K409" s="1">
        <v>43487</v>
      </c>
      <c r="L409" s="2">
        <v>0.75555555555555554</v>
      </c>
      <c r="M409" t="s">
        <v>32</v>
      </c>
      <c r="N409">
        <v>144.30000000000001</v>
      </c>
      <c r="O409">
        <v>4.7619047620000003</v>
      </c>
      <c r="P409">
        <v>7.2149999999999999</v>
      </c>
      <c r="Q409">
        <v>8</v>
      </c>
      <c r="R409" s="3">
        <f t="shared" si="19"/>
        <v>43487.755555555559</v>
      </c>
      <c r="S409">
        <f t="shared" si="21"/>
        <v>376.00000001024455</v>
      </c>
      <c r="T409">
        <f t="shared" si="20"/>
        <v>376</v>
      </c>
    </row>
    <row r="410" spans="1:20" hidden="1">
      <c r="A410" t="s">
        <v>769</v>
      </c>
      <c r="B410" t="s">
        <v>41</v>
      </c>
      <c r="C410" t="s">
        <v>42</v>
      </c>
      <c r="D410" t="s">
        <v>27</v>
      </c>
      <c r="E410" t="s">
        <v>177</v>
      </c>
      <c r="F410" t="s">
        <v>28</v>
      </c>
      <c r="G410">
        <v>75.88</v>
      </c>
      <c r="H410">
        <v>7</v>
      </c>
      <c r="I410">
        <v>26.558</v>
      </c>
      <c r="J410">
        <v>557.71799999999996</v>
      </c>
      <c r="K410" s="1">
        <v>43489</v>
      </c>
      <c r="L410" s="2">
        <v>0.44305555555555554</v>
      </c>
      <c r="M410" t="s">
        <v>23</v>
      </c>
      <c r="N410">
        <v>531.16</v>
      </c>
      <c r="O410">
        <v>4.7619047620000003</v>
      </c>
      <c r="P410">
        <v>26.558</v>
      </c>
      <c r="Q410">
        <v>8.9</v>
      </c>
      <c r="R410" s="3">
        <f t="shared" si="19"/>
        <v>43489.443055555559</v>
      </c>
      <c r="S410" t="str">
        <f t="shared" si="21"/>
        <v/>
      </c>
      <c r="T410" t="str">
        <f t="shared" si="20"/>
        <v/>
      </c>
    </row>
    <row r="411" spans="1:20">
      <c r="A411" t="s">
        <v>648</v>
      </c>
      <c r="B411" t="s">
        <v>41</v>
      </c>
      <c r="C411" t="s">
        <v>42</v>
      </c>
      <c r="D411" t="s">
        <v>20</v>
      </c>
      <c r="E411" t="s">
        <v>177</v>
      </c>
      <c r="F411" t="s">
        <v>45</v>
      </c>
      <c r="G411">
        <v>93.22</v>
      </c>
      <c r="H411">
        <v>3</v>
      </c>
      <c r="I411">
        <v>13.983000000000001</v>
      </c>
      <c r="J411">
        <v>293.64299999999997</v>
      </c>
      <c r="K411" s="1">
        <v>43489</v>
      </c>
      <c r="L411" s="2">
        <v>0.48958333333333331</v>
      </c>
      <c r="M411" t="s">
        <v>29</v>
      </c>
      <c r="N411">
        <v>279.66000000000003</v>
      </c>
      <c r="O411">
        <v>4.7619047620000003</v>
      </c>
      <c r="P411">
        <v>13.983000000000001</v>
      </c>
      <c r="Q411">
        <v>7.2</v>
      </c>
      <c r="R411" s="3">
        <f t="shared" si="19"/>
        <v>43489.489583333336</v>
      </c>
      <c r="S411">
        <f t="shared" si="21"/>
        <v>66.999999998370185</v>
      </c>
      <c r="T411">
        <f t="shared" si="20"/>
        <v>67</v>
      </c>
    </row>
    <row r="412" spans="1:20">
      <c r="A412" t="s">
        <v>789</v>
      </c>
      <c r="B412" t="s">
        <v>41</v>
      </c>
      <c r="C412" t="s">
        <v>42</v>
      </c>
      <c r="D412" t="s">
        <v>27</v>
      </c>
      <c r="E412" t="s">
        <v>177</v>
      </c>
      <c r="F412" t="s">
        <v>31</v>
      </c>
      <c r="G412">
        <v>73.28</v>
      </c>
      <c r="H412">
        <v>5</v>
      </c>
      <c r="I412">
        <v>18.32</v>
      </c>
      <c r="J412">
        <v>384.72</v>
      </c>
      <c r="K412" s="1">
        <v>43489</v>
      </c>
      <c r="L412" s="2">
        <v>0.62847222222222221</v>
      </c>
      <c r="M412" t="s">
        <v>23</v>
      </c>
      <c r="N412">
        <v>366.4</v>
      </c>
      <c r="O412">
        <v>4.7619047620000003</v>
      </c>
      <c r="P412">
        <v>18.32</v>
      </c>
      <c r="Q412">
        <v>8.4</v>
      </c>
      <c r="R412" s="3">
        <f t="shared" si="19"/>
        <v>43489.628472222219</v>
      </c>
      <c r="S412">
        <f t="shared" si="21"/>
        <v>199.99999999185093</v>
      </c>
      <c r="T412">
        <f t="shared" si="20"/>
        <v>200</v>
      </c>
    </row>
    <row r="413" spans="1:20">
      <c r="A413" t="s">
        <v>326</v>
      </c>
      <c r="B413" t="s">
        <v>41</v>
      </c>
      <c r="C413" t="s">
        <v>42</v>
      </c>
      <c r="D413" t="s">
        <v>20</v>
      </c>
      <c r="E413" t="s">
        <v>177</v>
      </c>
      <c r="F413" t="s">
        <v>28</v>
      </c>
      <c r="G413">
        <v>40.299999999999997</v>
      </c>
      <c r="H413">
        <v>10</v>
      </c>
      <c r="I413">
        <v>20.149999999999999</v>
      </c>
      <c r="J413">
        <v>423.15</v>
      </c>
      <c r="K413" s="1">
        <v>43489</v>
      </c>
      <c r="L413" s="2">
        <v>0.73402777777777772</v>
      </c>
      <c r="M413" t="s">
        <v>32</v>
      </c>
      <c r="N413">
        <v>403</v>
      </c>
      <c r="O413">
        <v>4.7619047620000003</v>
      </c>
      <c r="P413">
        <v>20.149999999999999</v>
      </c>
      <c r="Q413">
        <v>7</v>
      </c>
      <c r="R413" s="3">
        <f t="shared" si="19"/>
        <v>43489.734027777777</v>
      </c>
      <c r="S413">
        <f t="shared" si="21"/>
        <v>152.0000000030268</v>
      </c>
      <c r="T413">
        <f t="shared" si="20"/>
        <v>152</v>
      </c>
    </row>
    <row r="414" spans="1:20">
      <c r="A414" t="s">
        <v>1027</v>
      </c>
      <c r="B414" t="s">
        <v>41</v>
      </c>
      <c r="C414" t="s">
        <v>42</v>
      </c>
      <c r="D414" t="s">
        <v>27</v>
      </c>
      <c r="E414" t="s">
        <v>21</v>
      </c>
      <c r="F414" t="s">
        <v>35</v>
      </c>
      <c r="G414">
        <v>76.599999999999994</v>
      </c>
      <c r="H414">
        <v>10</v>
      </c>
      <c r="I414">
        <v>38.299999999999997</v>
      </c>
      <c r="J414">
        <v>804.3</v>
      </c>
      <c r="K414" s="1">
        <v>43489</v>
      </c>
      <c r="L414" s="2">
        <v>0.75694444444444442</v>
      </c>
      <c r="M414" t="s">
        <v>23</v>
      </c>
      <c r="N414">
        <v>766</v>
      </c>
      <c r="O414">
        <v>4.7619047620000003</v>
      </c>
      <c r="P414">
        <v>38.299999999999997</v>
      </c>
      <c r="Q414">
        <v>6</v>
      </c>
      <c r="R414" s="3">
        <f t="shared" si="19"/>
        <v>43489.756944444445</v>
      </c>
      <c r="S414">
        <f t="shared" si="21"/>
        <v>33.000000002793968</v>
      </c>
      <c r="T414">
        <f t="shared" si="20"/>
        <v>33</v>
      </c>
    </row>
    <row r="415" spans="1:20">
      <c r="A415" t="s">
        <v>720</v>
      </c>
      <c r="B415" t="s">
        <v>41</v>
      </c>
      <c r="C415" t="s">
        <v>42</v>
      </c>
      <c r="D415" t="s">
        <v>20</v>
      </c>
      <c r="E415" t="s">
        <v>21</v>
      </c>
      <c r="F415" t="s">
        <v>35</v>
      </c>
      <c r="G415">
        <v>23.08</v>
      </c>
      <c r="H415">
        <v>6</v>
      </c>
      <c r="I415">
        <v>6.9240000000000004</v>
      </c>
      <c r="J415">
        <v>145.404</v>
      </c>
      <c r="K415" s="1">
        <v>43489</v>
      </c>
      <c r="L415" s="2">
        <v>0.80555555555555558</v>
      </c>
      <c r="M415" t="s">
        <v>23</v>
      </c>
      <c r="N415">
        <v>138.47999999999999</v>
      </c>
      <c r="O415">
        <v>4.7619047620000003</v>
      </c>
      <c r="P415">
        <v>6.9240000000000004</v>
      </c>
      <c r="Q415">
        <v>4.9000000000000004</v>
      </c>
      <c r="R415" s="3">
        <f t="shared" si="19"/>
        <v>43489.805555555555</v>
      </c>
      <c r="S415">
        <f t="shared" si="21"/>
        <v>69.999999997671694</v>
      </c>
      <c r="T415">
        <f t="shared" si="20"/>
        <v>70</v>
      </c>
    </row>
    <row r="416" spans="1:20" hidden="1">
      <c r="A416" t="s">
        <v>364</v>
      </c>
      <c r="B416" t="s">
        <v>41</v>
      </c>
      <c r="C416" t="s">
        <v>42</v>
      </c>
      <c r="D416" t="s">
        <v>20</v>
      </c>
      <c r="E416" t="s">
        <v>177</v>
      </c>
      <c r="F416" t="s">
        <v>22</v>
      </c>
      <c r="G416">
        <v>51.13</v>
      </c>
      <c r="H416">
        <v>4</v>
      </c>
      <c r="I416">
        <v>10.226000000000001</v>
      </c>
      <c r="J416">
        <v>214.74600000000001</v>
      </c>
      <c r="K416" s="1">
        <v>43490</v>
      </c>
      <c r="L416" s="2">
        <v>0.42430555555555555</v>
      </c>
      <c r="M416" t="s">
        <v>32</v>
      </c>
      <c r="N416">
        <v>204.52</v>
      </c>
      <c r="O416">
        <v>4.7619047620000003</v>
      </c>
      <c r="P416">
        <v>10.226000000000001</v>
      </c>
      <c r="Q416">
        <v>4</v>
      </c>
      <c r="R416" s="3">
        <f t="shared" si="19"/>
        <v>43490.424305555556</v>
      </c>
      <c r="S416" t="str">
        <f t="shared" si="21"/>
        <v/>
      </c>
      <c r="T416" t="str">
        <f t="shared" si="20"/>
        <v/>
      </c>
    </row>
    <row r="417" spans="1:20">
      <c r="A417" t="s">
        <v>165</v>
      </c>
      <c r="B417" t="s">
        <v>41</v>
      </c>
      <c r="C417" t="s">
        <v>42</v>
      </c>
      <c r="D417" t="s">
        <v>27</v>
      </c>
      <c r="E417" t="s">
        <v>21</v>
      </c>
      <c r="F417" t="s">
        <v>45</v>
      </c>
      <c r="G417">
        <v>39.619999999999997</v>
      </c>
      <c r="H417">
        <v>7</v>
      </c>
      <c r="I417">
        <v>13.867000000000001</v>
      </c>
      <c r="J417">
        <v>291.20699999999999</v>
      </c>
      <c r="K417" s="1">
        <v>43490</v>
      </c>
      <c r="L417" s="2">
        <v>0.5541666666666667</v>
      </c>
      <c r="M417" t="s">
        <v>29</v>
      </c>
      <c r="N417">
        <v>277.33999999999997</v>
      </c>
      <c r="O417">
        <v>4.7619047620000003</v>
      </c>
      <c r="P417">
        <v>13.867000000000001</v>
      </c>
      <c r="Q417">
        <v>7.5</v>
      </c>
      <c r="R417" s="3">
        <f t="shared" si="19"/>
        <v>43490.554166666669</v>
      </c>
      <c r="S417">
        <f t="shared" si="21"/>
        <v>187.00000000186265</v>
      </c>
      <c r="T417">
        <f t="shared" si="20"/>
        <v>187</v>
      </c>
    </row>
    <row r="418" spans="1:20">
      <c r="A418" t="s">
        <v>324</v>
      </c>
      <c r="B418" t="s">
        <v>41</v>
      </c>
      <c r="C418" t="s">
        <v>42</v>
      </c>
      <c r="D418" t="s">
        <v>27</v>
      </c>
      <c r="E418" t="s">
        <v>21</v>
      </c>
      <c r="F418" t="s">
        <v>43</v>
      </c>
      <c r="G418">
        <v>48.51</v>
      </c>
      <c r="H418">
        <v>7</v>
      </c>
      <c r="I418">
        <v>16.9785</v>
      </c>
      <c r="J418">
        <v>356.54849999999999</v>
      </c>
      <c r="K418" s="1">
        <v>43490</v>
      </c>
      <c r="L418" s="2">
        <v>0.5625</v>
      </c>
      <c r="M418" t="s">
        <v>32</v>
      </c>
      <c r="N418">
        <v>339.57</v>
      </c>
      <c r="O418">
        <v>4.7619047620000003</v>
      </c>
      <c r="P418">
        <v>16.9785</v>
      </c>
      <c r="Q418">
        <v>5.2</v>
      </c>
      <c r="R418" s="3">
        <f t="shared" si="19"/>
        <v>43490.5625</v>
      </c>
      <c r="S418">
        <f t="shared" si="21"/>
        <v>11.999999997206032</v>
      </c>
      <c r="T418">
        <f t="shared" si="20"/>
        <v>12</v>
      </c>
    </row>
    <row r="419" spans="1:20">
      <c r="A419" t="s">
        <v>447</v>
      </c>
      <c r="B419" t="s">
        <v>41</v>
      </c>
      <c r="C419" t="s">
        <v>42</v>
      </c>
      <c r="D419" t="s">
        <v>27</v>
      </c>
      <c r="E419" t="s">
        <v>177</v>
      </c>
      <c r="F419" t="s">
        <v>35</v>
      </c>
      <c r="G419">
        <v>21.87</v>
      </c>
      <c r="H419">
        <v>2</v>
      </c>
      <c r="I419">
        <v>2.1869999999999998</v>
      </c>
      <c r="J419">
        <v>45.927</v>
      </c>
      <c r="K419" s="1">
        <v>43490</v>
      </c>
      <c r="L419" s="2">
        <v>0.60347222222222219</v>
      </c>
      <c r="M419" t="s">
        <v>23</v>
      </c>
      <c r="N419">
        <v>43.74</v>
      </c>
      <c r="O419">
        <v>4.7619047620000003</v>
      </c>
      <c r="P419">
        <v>2.1869999999999998</v>
      </c>
      <c r="Q419">
        <v>6.9</v>
      </c>
      <c r="R419" s="3">
        <f t="shared" si="19"/>
        <v>43490.603472222225</v>
      </c>
      <c r="S419">
        <f t="shared" si="21"/>
        <v>59.00000000372529</v>
      </c>
      <c r="T419">
        <f t="shared" si="20"/>
        <v>59</v>
      </c>
    </row>
    <row r="420" spans="1:20">
      <c r="A420" t="s">
        <v>451</v>
      </c>
      <c r="B420" t="s">
        <v>41</v>
      </c>
      <c r="C420" t="s">
        <v>42</v>
      </c>
      <c r="D420" t="s">
        <v>27</v>
      </c>
      <c r="E420" t="s">
        <v>177</v>
      </c>
      <c r="F420" t="s">
        <v>22</v>
      </c>
      <c r="G420">
        <v>96.11</v>
      </c>
      <c r="H420">
        <v>1</v>
      </c>
      <c r="I420">
        <v>4.8055000000000003</v>
      </c>
      <c r="J420">
        <v>100.91549999999999</v>
      </c>
      <c r="K420" s="1">
        <v>43490</v>
      </c>
      <c r="L420" s="2">
        <v>0.68611111111111112</v>
      </c>
      <c r="M420" t="s">
        <v>23</v>
      </c>
      <c r="N420">
        <v>96.11</v>
      </c>
      <c r="O420">
        <v>4.7619047620000003</v>
      </c>
      <c r="P420">
        <v>4.8055000000000003</v>
      </c>
      <c r="Q420">
        <v>7.8</v>
      </c>
      <c r="R420" s="3">
        <f t="shared" si="19"/>
        <v>43490.686111111114</v>
      </c>
      <c r="S420">
        <f t="shared" si="21"/>
        <v>119.00000000023283</v>
      </c>
      <c r="T420">
        <f t="shared" si="20"/>
        <v>119</v>
      </c>
    </row>
    <row r="421" spans="1:20">
      <c r="A421" t="s">
        <v>407</v>
      </c>
      <c r="B421" t="s">
        <v>41</v>
      </c>
      <c r="C421" t="s">
        <v>42</v>
      </c>
      <c r="D421" t="s">
        <v>27</v>
      </c>
      <c r="E421" t="s">
        <v>21</v>
      </c>
      <c r="F421" t="s">
        <v>45</v>
      </c>
      <c r="G421">
        <v>60.96</v>
      </c>
      <c r="H421">
        <v>2</v>
      </c>
      <c r="I421">
        <v>6.0960000000000001</v>
      </c>
      <c r="J421">
        <v>128.01599999999999</v>
      </c>
      <c r="K421" s="1">
        <v>43490</v>
      </c>
      <c r="L421" s="2">
        <v>0.81874999999999998</v>
      </c>
      <c r="M421" t="s">
        <v>32</v>
      </c>
      <c r="N421">
        <v>121.92</v>
      </c>
      <c r="O421">
        <v>4.7619047620000003</v>
      </c>
      <c r="P421">
        <v>6.0960000000000001</v>
      </c>
      <c r="Q421">
        <v>4.9000000000000004</v>
      </c>
      <c r="R421" s="3">
        <f t="shared" si="19"/>
        <v>43490.818749999999</v>
      </c>
      <c r="S421">
        <f t="shared" si="21"/>
        <v>190.9999999939464</v>
      </c>
      <c r="T421">
        <f t="shared" si="20"/>
        <v>191</v>
      </c>
    </row>
    <row r="422" spans="1:20">
      <c r="A422" t="s">
        <v>63</v>
      </c>
      <c r="B422" t="s">
        <v>41</v>
      </c>
      <c r="C422" t="s">
        <v>42</v>
      </c>
      <c r="D422" t="s">
        <v>20</v>
      </c>
      <c r="E422" t="s">
        <v>21</v>
      </c>
      <c r="F422" t="s">
        <v>43</v>
      </c>
      <c r="G422">
        <v>88.36</v>
      </c>
      <c r="H422">
        <v>5</v>
      </c>
      <c r="I422">
        <v>22.09</v>
      </c>
      <c r="J422">
        <v>463.89</v>
      </c>
      <c r="K422" s="1">
        <v>43490</v>
      </c>
      <c r="L422" s="2">
        <v>0.82499999999999996</v>
      </c>
      <c r="M422" t="s">
        <v>29</v>
      </c>
      <c r="N422">
        <v>441.8</v>
      </c>
      <c r="O422">
        <v>4.7619047620000003</v>
      </c>
      <c r="P422">
        <v>22.09</v>
      </c>
      <c r="Q422">
        <v>9.6</v>
      </c>
      <c r="R422" s="3">
        <f t="shared" si="19"/>
        <v>43490.824999999997</v>
      </c>
      <c r="S422">
        <f t="shared" si="21"/>
        <v>8.9999999979045242</v>
      </c>
      <c r="T422">
        <f t="shared" si="20"/>
        <v>9</v>
      </c>
    </row>
    <row r="423" spans="1:20" hidden="1">
      <c r="A423" t="s">
        <v>207</v>
      </c>
      <c r="B423" t="s">
        <v>41</v>
      </c>
      <c r="C423" t="s">
        <v>42</v>
      </c>
      <c r="D423" t="s">
        <v>20</v>
      </c>
      <c r="E423" t="s">
        <v>177</v>
      </c>
      <c r="F423" t="s">
        <v>43</v>
      </c>
      <c r="G423">
        <v>80.05</v>
      </c>
      <c r="H423">
        <v>5</v>
      </c>
      <c r="I423">
        <v>20.012499999999999</v>
      </c>
      <c r="J423">
        <v>420.26249999999999</v>
      </c>
      <c r="K423" s="1">
        <v>43491</v>
      </c>
      <c r="L423" s="2">
        <v>0.53125</v>
      </c>
      <c r="M423" t="s">
        <v>32</v>
      </c>
      <c r="N423">
        <v>400.25</v>
      </c>
      <c r="O423">
        <v>4.7619047620000003</v>
      </c>
      <c r="P423">
        <v>20.012499999999999</v>
      </c>
      <c r="Q423">
        <v>9.4</v>
      </c>
      <c r="R423" s="3">
        <f t="shared" si="19"/>
        <v>43491.53125</v>
      </c>
      <c r="S423" t="str">
        <f t="shared" si="21"/>
        <v/>
      </c>
      <c r="T423" t="str">
        <f t="shared" si="20"/>
        <v/>
      </c>
    </row>
    <row r="424" spans="1:20">
      <c r="A424" t="s">
        <v>1000</v>
      </c>
      <c r="B424" t="s">
        <v>41</v>
      </c>
      <c r="C424" t="s">
        <v>42</v>
      </c>
      <c r="D424" t="s">
        <v>27</v>
      </c>
      <c r="E424" t="s">
        <v>177</v>
      </c>
      <c r="F424" t="s">
        <v>43</v>
      </c>
      <c r="G424">
        <v>33.33</v>
      </c>
      <c r="H424">
        <v>2</v>
      </c>
      <c r="I424">
        <v>3.3330000000000002</v>
      </c>
      <c r="J424">
        <v>69.992999999999995</v>
      </c>
      <c r="K424" s="1">
        <v>43491</v>
      </c>
      <c r="L424" s="2">
        <v>0.6118055555555556</v>
      </c>
      <c r="M424" t="s">
        <v>32</v>
      </c>
      <c r="N424">
        <v>66.66</v>
      </c>
      <c r="O424">
        <v>4.7619047620000003</v>
      </c>
      <c r="P424">
        <v>3.3330000000000002</v>
      </c>
      <c r="Q424">
        <v>6.4</v>
      </c>
      <c r="R424" s="3">
        <f t="shared" si="19"/>
        <v>43491.611805555556</v>
      </c>
      <c r="S424">
        <f t="shared" si="21"/>
        <v>116.00000000093132</v>
      </c>
      <c r="T424">
        <f t="shared" si="20"/>
        <v>116</v>
      </c>
    </row>
    <row r="425" spans="1:20">
      <c r="A425" t="s">
        <v>427</v>
      </c>
      <c r="B425" t="s">
        <v>41</v>
      </c>
      <c r="C425" t="s">
        <v>42</v>
      </c>
      <c r="D425" t="s">
        <v>27</v>
      </c>
      <c r="E425" t="s">
        <v>21</v>
      </c>
      <c r="F425" t="s">
        <v>45</v>
      </c>
      <c r="G425">
        <v>37.950000000000003</v>
      </c>
      <c r="H425">
        <v>10</v>
      </c>
      <c r="I425">
        <v>18.975000000000001</v>
      </c>
      <c r="J425">
        <v>398.47500000000002</v>
      </c>
      <c r="K425" s="1">
        <v>43491</v>
      </c>
      <c r="L425" s="2">
        <v>0.61875000000000002</v>
      </c>
      <c r="M425" t="s">
        <v>29</v>
      </c>
      <c r="N425">
        <v>379.5</v>
      </c>
      <c r="O425">
        <v>4.7619047620000003</v>
      </c>
      <c r="P425">
        <v>18.975000000000001</v>
      </c>
      <c r="Q425">
        <v>9.6999999999999993</v>
      </c>
      <c r="R425" s="3">
        <f t="shared" si="19"/>
        <v>43491.618750000001</v>
      </c>
      <c r="S425">
        <f t="shared" si="21"/>
        <v>10.000000001164153</v>
      </c>
      <c r="T425">
        <f t="shared" si="20"/>
        <v>10</v>
      </c>
    </row>
    <row r="426" spans="1:20">
      <c r="A426" t="s">
        <v>1008</v>
      </c>
      <c r="B426" t="s">
        <v>41</v>
      </c>
      <c r="C426" t="s">
        <v>42</v>
      </c>
      <c r="D426" t="s">
        <v>27</v>
      </c>
      <c r="E426" t="s">
        <v>177</v>
      </c>
      <c r="F426" t="s">
        <v>28</v>
      </c>
      <c r="G426">
        <v>87.08</v>
      </c>
      <c r="H426">
        <v>7</v>
      </c>
      <c r="I426">
        <v>30.478000000000002</v>
      </c>
      <c r="J426">
        <v>640.03800000000001</v>
      </c>
      <c r="K426" s="1">
        <v>43491</v>
      </c>
      <c r="L426" s="2">
        <v>0.63680555555555551</v>
      </c>
      <c r="M426" t="s">
        <v>29</v>
      </c>
      <c r="N426">
        <v>609.55999999999995</v>
      </c>
      <c r="O426">
        <v>4.7619047620000003</v>
      </c>
      <c r="P426">
        <v>30.478000000000002</v>
      </c>
      <c r="Q426">
        <v>5.5</v>
      </c>
      <c r="R426" s="3">
        <f t="shared" si="19"/>
        <v>43491.636805555558</v>
      </c>
      <c r="S426">
        <f t="shared" si="21"/>
        <v>26.000000000931323</v>
      </c>
      <c r="T426">
        <f t="shared" si="20"/>
        <v>26</v>
      </c>
    </row>
    <row r="427" spans="1:20">
      <c r="A427" t="s">
        <v>661</v>
      </c>
      <c r="B427" t="s">
        <v>41</v>
      </c>
      <c r="C427" t="s">
        <v>42</v>
      </c>
      <c r="D427" t="s">
        <v>20</v>
      </c>
      <c r="E427" t="s">
        <v>21</v>
      </c>
      <c r="F427" t="s">
        <v>43</v>
      </c>
      <c r="G427">
        <v>78.88</v>
      </c>
      <c r="H427">
        <v>2</v>
      </c>
      <c r="I427">
        <v>7.8879999999999999</v>
      </c>
      <c r="J427">
        <v>165.648</v>
      </c>
      <c r="K427" s="1">
        <v>43491</v>
      </c>
      <c r="L427" s="2">
        <v>0.6694444444444444</v>
      </c>
      <c r="M427" t="s">
        <v>29</v>
      </c>
      <c r="N427">
        <v>157.76</v>
      </c>
      <c r="O427">
        <v>4.7619047620000003</v>
      </c>
      <c r="P427">
        <v>7.8879999999999999</v>
      </c>
      <c r="Q427">
        <v>9.1</v>
      </c>
      <c r="R427" s="3">
        <f t="shared" si="19"/>
        <v>43491.669444444444</v>
      </c>
      <c r="S427">
        <f t="shared" si="21"/>
        <v>46.999999996041879</v>
      </c>
      <c r="T427">
        <f t="shared" si="20"/>
        <v>47</v>
      </c>
    </row>
    <row r="428" spans="1:20">
      <c r="A428" t="s">
        <v>584</v>
      </c>
      <c r="B428" t="s">
        <v>41</v>
      </c>
      <c r="C428" t="s">
        <v>42</v>
      </c>
      <c r="D428" t="s">
        <v>27</v>
      </c>
      <c r="E428" t="s">
        <v>21</v>
      </c>
      <c r="F428" t="s">
        <v>35</v>
      </c>
      <c r="G428">
        <v>51.54</v>
      </c>
      <c r="H428">
        <v>5</v>
      </c>
      <c r="I428">
        <v>12.885</v>
      </c>
      <c r="J428">
        <v>270.58499999999998</v>
      </c>
      <c r="K428" s="1">
        <v>43491</v>
      </c>
      <c r="L428" s="2">
        <v>0.73958333333333337</v>
      </c>
      <c r="M428" t="s">
        <v>29</v>
      </c>
      <c r="N428">
        <v>257.7</v>
      </c>
      <c r="O428">
        <v>4.7619047620000003</v>
      </c>
      <c r="P428">
        <v>12.885</v>
      </c>
      <c r="Q428">
        <v>4.2</v>
      </c>
      <c r="R428" s="3">
        <f t="shared" si="19"/>
        <v>43491.739583333336</v>
      </c>
      <c r="S428">
        <f t="shared" si="21"/>
        <v>101.00000000442378</v>
      </c>
      <c r="T428">
        <f t="shared" si="20"/>
        <v>101</v>
      </c>
    </row>
    <row r="429" spans="1:20">
      <c r="A429" t="s">
        <v>262</v>
      </c>
      <c r="B429" t="s">
        <v>41</v>
      </c>
      <c r="C429" t="s">
        <v>42</v>
      </c>
      <c r="D429" t="s">
        <v>20</v>
      </c>
      <c r="E429" t="s">
        <v>177</v>
      </c>
      <c r="F429" t="s">
        <v>22</v>
      </c>
      <c r="G429">
        <v>69.37</v>
      </c>
      <c r="H429">
        <v>9</v>
      </c>
      <c r="I429">
        <v>31.2165</v>
      </c>
      <c r="J429">
        <v>655.54650000000004</v>
      </c>
      <c r="K429" s="1">
        <v>43491</v>
      </c>
      <c r="L429" s="2">
        <v>0.80138888888888893</v>
      </c>
      <c r="M429" t="s">
        <v>23</v>
      </c>
      <c r="N429">
        <v>624.33000000000004</v>
      </c>
      <c r="O429">
        <v>4.7619047620000003</v>
      </c>
      <c r="P429">
        <v>31.2165</v>
      </c>
      <c r="Q429">
        <v>4</v>
      </c>
      <c r="R429" s="3">
        <f t="shared" si="19"/>
        <v>43491.801388888889</v>
      </c>
      <c r="S429">
        <f t="shared" si="21"/>
        <v>88.999999996740371</v>
      </c>
      <c r="T429">
        <f t="shared" si="20"/>
        <v>89</v>
      </c>
    </row>
    <row r="430" spans="1:20">
      <c r="A430" t="s">
        <v>266</v>
      </c>
      <c r="B430" t="s">
        <v>41</v>
      </c>
      <c r="C430" t="s">
        <v>42</v>
      </c>
      <c r="D430" t="s">
        <v>27</v>
      </c>
      <c r="E430" t="s">
        <v>21</v>
      </c>
      <c r="F430" t="s">
        <v>45</v>
      </c>
      <c r="G430">
        <v>81.37</v>
      </c>
      <c r="H430">
        <v>2</v>
      </c>
      <c r="I430">
        <v>8.1370000000000005</v>
      </c>
      <c r="J430">
        <v>170.87700000000001</v>
      </c>
      <c r="K430" s="1">
        <v>43491</v>
      </c>
      <c r="L430" s="2">
        <v>0.81111111111111112</v>
      </c>
      <c r="M430" t="s">
        <v>29</v>
      </c>
      <c r="N430">
        <v>162.74</v>
      </c>
      <c r="O430">
        <v>4.7619047620000003</v>
      </c>
      <c r="P430">
        <v>8.1370000000000005</v>
      </c>
      <c r="Q430">
        <v>6.5</v>
      </c>
      <c r="R430" s="3">
        <f t="shared" si="19"/>
        <v>43491.811111111114</v>
      </c>
      <c r="S430">
        <f t="shared" si="21"/>
        <v>14.00000000372529</v>
      </c>
      <c r="T430">
        <f t="shared" si="20"/>
        <v>14</v>
      </c>
    </row>
    <row r="431" spans="1:20">
      <c r="A431" t="s">
        <v>116</v>
      </c>
      <c r="B431" t="s">
        <v>41</v>
      </c>
      <c r="C431" t="s">
        <v>42</v>
      </c>
      <c r="D431" t="s">
        <v>20</v>
      </c>
      <c r="E431" t="s">
        <v>21</v>
      </c>
      <c r="F431" t="s">
        <v>43</v>
      </c>
      <c r="G431">
        <v>96.68</v>
      </c>
      <c r="H431">
        <v>3</v>
      </c>
      <c r="I431">
        <v>14.502000000000001</v>
      </c>
      <c r="J431">
        <v>304.54199999999997</v>
      </c>
      <c r="K431" s="1">
        <v>43491</v>
      </c>
      <c r="L431" s="2">
        <v>0.8305555555555556</v>
      </c>
      <c r="M431" t="s">
        <v>23</v>
      </c>
      <c r="N431">
        <v>290.04000000000002</v>
      </c>
      <c r="O431">
        <v>4.7619047620000003</v>
      </c>
      <c r="P431">
        <v>14.502000000000001</v>
      </c>
      <c r="Q431">
        <v>6.4</v>
      </c>
      <c r="R431" s="3">
        <f t="shared" si="19"/>
        <v>43491.830555555556</v>
      </c>
      <c r="S431">
        <f t="shared" si="21"/>
        <v>27.999999996973202</v>
      </c>
      <c r="T431">
        <f t="shared" si="20"/>
        <v>28</v>
      </c>
    </row>
    <row r="432" spans="1:20">
      <c r="A432" t="s">
        <v>229</v>
      </c>
      <c r="B432" t="s">
        <v>41</v>
      </c>
      <c r="C432" t="s">
        <v>42</v>
      </c>
      <c r="D432" t="s">
        <v>27</v>
      </c>
      <c r="E432" t="s">
        <v>177</v>
      </c>
      <c r="F432" t="s">
        <v>31</v>
      </c>
      <c r="G432">
        <v>25.55</v>
      </c>
      <c r="H432">
        <v>4</v>
      </c>
      <c r="I432">
        <v>5.1100000000000003</v>
      </c>
      <c r="J432">
        <v>107.31</v>
      </c>
      <c r="K432" s="1">
        <v>43491</v>
      </c>
      <c r="L432" s="2">
        <v>0.84930555555555554</v>
      </c>
      <c r="M432" t="s">
        <v>23</v>
      </c>
      <c r="N432">
        <v>102.2</v>
      </c>
      <c r="O432">
        <v>4.7619047620000003</v>
      </c>
      <c r="P432">
        <v>5.1100000000000003</v>
      </c>
      <c r="Q432">
        <v>5.7</v>
      </c>
      <c r="R432" s="3">
        <f t="shared" si="19"/>
        <v>43491.849305555559</v>
      </c>
      <c r="S432">
        <f t="shared" si="21"/>
        <v>27.000000004190952</v>
      </c>
      <c r="T432">
        <f t="shared" si="20"/>
        <v>27</v>
      </c>
    </row>
    <row r="433" spans="1:20" hidden="1">
      <c r="A433" t="s">
        <v>945</v>
      </c>
      <c r="B433" t="s">
        <v>41</v>
      </c>
      <c r="C433" t="s">
        <v>42</v>
      </c>
      <c r="D433" t="s">
        <v>27</v>
      </c>
      <c r="E433" t="s">
        <v>21</v>
      </c>
      <c r="F433" t="s">
        <v>31</v>
      </c>
      <c r="G433">
        <v>49.01</v>
      </c>
      <c r="H433">
        <v>10</v>
      </c>
      <c r="I433">
        <v>24.504999999999999</v>
      </c>
      <c r="J433">
        <v>514.60500000000002</v>
      </c>
      <c r="K433" s="1">
        <v>43492</v>
      </c>
      <c r="L433" s="2">
        <v>0.44722222222222224</v>
      </c>
      <c r="M433" t="s">
        <v>32</v>
      </c>
      <c r="N433">
        <v>490.1</v>
      </c>
      <c r="O433">
        <v>4.7619047620000003</v>
      </c>
      <c r="P433">
        <v>24.504999999999999</v>
      </c>
      <c r="Q433">
        <v>4.2</v>
      </c>
      <c r="R433" s="3">
        <f t="shared" si="19"/>
        <v>43492.447222222225</v>
      </c>
      <c r="S433" t="str">
        <f t="shared" si="21"/>
        <v/>
      </c>
      <c r="T433" t="str">
        <f t="shared" si="20"/>
        <v/>
      </c>
    </row>
    <row r="434" spans="1:20">
      <c r="A434" t="s">
        <v>854</v>
      </c>
      <c r="B434" t="s">
        <v>41</v>
      </c>
      <c r="C434" t="s">
        <v>42</v>
      </c>
      <c r="D434" t="s">
        <v>20</v>
      </c>
      <c r="E434" t="s">
        <v>177</v>
      </c>
      <c r="F434" t="s">
        <v>22</v>
      </c>
      <c r="G434">
        <v>96.16</v>
      </c>
      <c r="H434">
        <v>4</v>
      </c>
      <c r="I434">
        <v>19.231999999999999</v>
      </c>
      <c r="J434">
        <v>403.87200000000001</v>
      </c>
      <c r="K434" s="1">
        <v>43492</v>
      </c>
      <c r="L434" s="2">
        <v>0.8354166666666667</v>
      </c>
      <c r="M434" t="s">
        <v>32</v>
      </c>
      <c r="N434">
        <v>384.64</v>
      </c>
      <c r="O434">
        <v>4.7619047620000003</v>
      </c>
      <c r="P434">
        <v>19.231999999999999</v>
      </c>
      <c r="Q434">
        <v>8.4</v>
      </c>
      <c r="R434" s="3">
        <f t="shared" si="19"/>
        <v>43492.835416666669</v>
      </c>
      <c r="S434">
        <f t="shared" si="21"/>
        <v>558.99999999906868</v>
      </c>
      <c r="T434">
        <f t="shared" si="20"/>
        <v>559</v>
      </c>
    </row>
    <row r="435" spans="1:20" hidden="1">
      <c r="A435" t="s">
        <v>908</v>
      </c>
      <c r="B435" t="s">
        <v>41</v>
      </c>
      <c r="C435" t="s">
        <v>42</v>
      </c>
      <c r="D435" t="s">
        <v>20</v>
      </c>
      <c r="E435" t="s">
        <v>21</v>
      </c>
      <c r="F435" t="s">
        <v>28</v>
      </c>
      <c r="G435">
        <v>21.43</v>
      </c>
      <c r="H435">
        <v>10</v>
      </c>
      <c r="I435">
        <v>10.715</v>
      </c>
      <c r="J435">
        <v>225.01499999999999</v>
      </c>
      <c r="K435" s="1">
        <v>43493</v>
      </c>
      <c r="L435" s="2">
        <v>0.49375000000000002</v>
      </c>
      <c r="M435" t="s">
        <v>29</v>
      </c>
      <c r="N435">
        <v>214.3</v>
      </c>
      <c r="O435">
        <v>4.7619047620000003</v>
      </c>
      <c r="P435">
        <v>10.715</v>
      </c>
      <c r="Q435">
        <v>6.2</v>
      </c>
      <c r="R435" s="3">
        <f t="shared" si="19"/>
        <v>43493.493750000001</v>
      </c>
      <c r="S435" t="str">
        <f t="shared" si="21"/>
        <v/>
      </c>
      <c r="T435" t="str">
        <f t="shared" si="20"/>
        <v/>
      </c>
    </row>
    <row r="436" spans="1:20">
      <c r="A436" t="s">
        <v>66</v>
      </c>
      <c r="B436" t="s">
        <v>41</v>
      </c>
      <c r="C436" t="s">
        <v>42</v>
      </c>
      <c r="D436" t="s">
        <v>20</v>
      </c>
      <c r="E436" t="s">
        <v>21</v>
      </c>
      <c r="F436" t="s">
        <v>35</v>
      </c>
      <c r="G436">
        <v>78.069999999999993</v>
      </c>
      <c r="H436">
        <v>9</v>
      </c>
      <c r="I436">
        <v>35.131500000000003</v>
      </c>
      <c r="J436">
        <v>737.76149999999996</v>
      </c>
      <c r="K436" s="1">
        <v>43493</v>
      </c>
      <c r="L436" s="2">
        <v>0.52986111111111112</v>
      </c>
      <c r="M436" t="s">
        <v>29</v>
      </c>
      <c r="N436">
        <v>702.63</v>
      </c>
      <c r="O436">
        <v>4.7619047620000003</v>
      </c>
      <c r="P436">
        <v>35.131500000000003</v>
      </c>
      <c r="Q436">
        <v>4.5</v>
      </c>
      <c r="R436" s="3">
        <f t="shared" si="19"/>
        <v>43493.529861111114</v>
      </c>
      <c r="S436">
        <f t="shared" si="21"/>
        <v>52.000000001862645</v>
      </c>
      <c r="T436">
        <f t="shared" si="20"/>
        <v>52</v>
      </c>
    </row>
    <row r="437" spans="1:20">
      <c r="A437" t="s">
        <v>862</v>
      </c>
      <c r="B437" t="s">
        <v>41</v>
      </c>
      <c r="C437" t="s">
        <v>42</v>
      </c>
      <c r="D437" t="s">
        <v>20</v>
      </c>
      <c r="E437" t="s">
        <v>21</v>
      </c>
      <c r="F437" t="s">
        <v>22</v>
      </c>
      <c r="G437">
        <v>72.11</v>
      </c>
      <c r="H437">
        <v>9</v>
      </c>
      <c r="I437">
        <v>32.4495</v>
      </c>
      <c r="J437">
        <v>681.43949999999995</v>
      </c>
      <c r="K437" s="1">
        <v>43493</v>
      </c>
      <c r="L437" s="2">
        <v>0.57847222222222228</v>
      </c>
      <c r="M437" t="s">
        <v>32</v>
      </c>
      <c r="N437">
        <v>648.99</v>
      </c>
      <c r="O437">
        <v>4.7619047620000003</v>
      </c>
      <c r="P437">
        <v>32.4495</v>
      </c>
      <c r="Q437">
        <v>7.7</v>
      </c>
      <c r="R437" s="3">
        <f t="shared" si="19"/>
        <v>43493.578472222223</v>
      </c>
      <c r="S437">
        <f t="shared" si="21"/>
        <v>69.999999997671694</v>
      </c>
      <c r="T437">
        <f t="shared" si="20"/>
        <v>70</v>
      </c>
    </row>
    <row r="438" spans="1:20">
      <c r="A438" t="s">
        <v>1025</v>
      </c>
      <c r="B438" t="s">
        <v>41</v>
      </c>
      <c r="C438" t="s">
        <v>42</v>
      </c>
      <c r="D438" t="s">
        <v>20</v>
      </c>
      <c r="E438" t="s">
        <v>177</v>
      </c>
      <c r="F438" t="s">
        <v>22</v>
      </c>
      <c r="G438">
        <v>75.37</v>
      </c>
      <c r="H438">
        <v>8</v>
      </c>
      <c r="I438">
        <v>30.148</v>
      </c>
      <c r="J438">
        <v>633.10799999999995</v>
      </c>
      <c r="K438" s="1">
        <v>43493</v>
      </c>
      <c r="L438" s="2">
        <v>0.65694444444444444</v>
      </c>
      <c r="M438" t="s">
        <v>32</v>
      </c>
      <c r="N438">
        <v>602.96</v>
      </c>
      <c r="O438">
        <v>4.7619047620000003</v>
      </c>
      <c r="P438">
        <v>30.148</v>
      </c>
      <c r="Q438">
        <v>8.4</v>
      </c>
      <c r="R438" s="3">
        <f t="shared" si="19"/>
        <v>43493.656944444447</v>
      </c>
      <c r="S438">
        <f t="shared" si="21"/>
        <v>113.00000000162981</v>
      </c>
      <c r="T438">
        <f t="shared" si="20"/>
        <v>113</v>
      </c>
    </row>
    <row r="439" spans="1:20">
      <c r="A439" t="s">
        <v>931</v>
      </c>
      <c r="B439" t="s">
        <v>41</v>
      </c>
      <c r="C439" t="s">
        <v>42</v>
      </c>
      <c r="D439" t="s">
        <v>27</v>
      </c>
      <c r="E439" t="s">
        <v>177</v>
      </c>
      <c r="F439" t="s">
        <v>22</v>
      </c>
      <c r="G439">
        <v>99.16</v>
      </c>
      <c r="H439">
        <v>8</v>
      </c>
      <c r="I439">
        <v>39.664000000000001</v>
      </c>
      <c r="J439">
        <v>832.94399999999996</v>
      </c>
      <c r="K439" s="1">
        <v>43493</v>
      </c>
      <c r="L439" s="2">
        <v>0.74097222222222225</v>
      </c>
      <c r="M439" t="s">
        <v>32</v>
      </c>
      <c r="N439">
        <v>793.28</v>
      </c>
      <c r="O439">
        <v>4.7619047620000003</v>
      </c>
      <c r="P439">
        <v>39.664000000000001</v>
      </c>
      <c r="Q439">
        <v>4.2</v>
      </c>
      <c r="R439" s="3">
        <f t="shared" si="19"/>
        <v>43493.740972222222</v>
      </c>
      <c r="S439">
        <f t="shared" si="21"/>
        <v>120.99999999627471</v>
      </c>
      <c r="T439">
        <f t="shared" si="20"/>
        <v>121</v>
      </c>
    </row>
    <row r="440" spans="1:20">
      <c r="A440" t="s">
        <v>481</v>
      </c>
      <c r="B440" t="s">
        <v>41</v>
      </c>
      <c r="C440" t="s">
        <v>42</v>
      </c>
      <c r="D440" t="s">
        <v>20</v>
      </c>
      <c r="E440" t="s">
        <v>21</v>
      </c>
      <c r="F440" t="s">
        <v>22</v>
      </c>
      <c r="G440">
        <v>19.149999999999999</v>
      </c>
      <c r="H440">
        <v>1</v>
      </c>
      <c r="I440">
        <v>0.95750000000000002</v>
      </c>
      <c r="J440">
        <v>20.107500000000002</v>
      </c>
      <c r="K440" s="1">
        <v>43493</v>
      </c>
      <c r="L440" s="2">
        <v>0.74861111111111112</v>
      </c>
      <c r="M440" t="s">
        <v>32</v>
      </c>
      <c r="N440">
        <v>19.149999999999999</v>
      </c>
      <c r="O440">
        <v>4.7619047620000003</v>
      </c>
      <c r="P440">
        <v>0.95750000000000002</v>
      </c>
      <c r="Q440">
        <v>9.5</v>
      </c>
      <c r="R440" s="3">
        <f t="shared" si="19"/>
        <v>43493.748611111114</v>
      </c>
      <c r="S440">
        <f t="shared" si="21"/>
        <v>11.000000004423782</v>
      </c>
      <c r="T440">
        <f t="shared" si="20"/>
        <v>11</v>
      </c>
    </row>
    <row r="441" spans="1:20" hidden="1">
      <c r="A441" t="s">
        <v>543</v>
      </c>
      <c r="B441" t="s">
        <v>41</v>
      </c>
      <c r="C441" t="s">
        <v>42</v>
      </c>
      <c r="D441" t="s">
        <v>27</v>
      </c>
      <c r="E441" t="s">
        <v>21</v>
      </c>
      <c r="F441" t="s">
        <v>43</v>
      </c>
      <c r="G441">
        <v>84.05</v>
      </c>
      <c r="H441">
        <v>6</v>
      </c>
      <c r="I441">
        <v>25.215</v>
      </c>
      <c r="J441">
        <v>529.51499999999999</v>
      </c>
      <c r="K441" s="1">
        <v>43494</v>
      </c>
      <c r="L441" s="2">
        <v>0.45</v>
      </c>
      <c r="M441" t="s">
        <v>32</v>
      </c>
      <c r="N441">
        <v>504.3</v>
      </c>
      <c r="O441">
        <v>4.7619047620000003</v>
      </c>
      <c r="P441">
        <v>25.215</v>
      </c>
      <c r="Q441">
        <v>7.7</v>
      </c>
      <c r="R441" s="3">
        <f t="shared" si="19"/>
        <v>43494.45</v>
      </c>
      <c r="S441" t="str">
        <f t="shared" si="21"/>
        <v/>
      </c>
      <c r="T441" t="str">
        <f t="shared" si="20"/>
        <v/>
      </c>
    </row>
    <row r="442" spans="1:20">
      <c r="A442" t="s">
        <v>607</v>
      </c>
      <c r="B442" t="s">
        <v>41</v>
      </c>
      <c r="C442" t="s">
        <v>42</v>
      </c>
      <c r="D442" t="s">
        <v>20</v>
      </c>
      <c r="E442" t="s">
        <v>177</v>
      </c>
      <c r="F442" t="s">
        <v>35</v>
      </c>
      <c r="G442">
        <v>26.67</v>
      </c>
      <c r="H442">
        <v>10</v>
      </c>
      <c r="I442">
        <v>13.335000000000001</v>
      </c>
      <c r="J442">
        <v>280.03500000000003</v>
      </c>
      <c r="K442" s="1">
        <v>43494</v>
      </c>
      <c r="L442" s="2">
        <v>0.49166666666666664</v>
      </c>
      <c r="M442" t="s">
        <v>29</v>
      </c>
      <c r="N442">
        <v>266.7</v>
      </c>
      <c r="O442">
        <v>4.7619047620000003</v>
      </c>
      <c r="P442">
        <v>13.335000000000001</v>
      </c>
      <c r="Q442">
        <v>8.6</v>
      </c>
      <c r="R442" s="3">
        <f t="shared" si="19"/>
        <v>43494.491666666669</v>
      </c>
      <c r="S442">
        <f t="shared" si="21"/>
        <v>60.000000006984919</v>
      </c>
      <c r="T442">
        <f t="shared" si="20"/>
        <v>60</v>
      </c>
    </row>
    <row r="443" spans="1:20">
      <c r="A443" t="s">
        <v>291</v>
      </c>
      <c r="B443" t="s">
        <v>41</v>
      </c>
      <c r="C443" t="s">
        <v>42</v>
      </c>
      <c r="D443" t="s">
        <v>20</v>
      </c>
      <c r="E443" t="s">
        <v>177</v>
      </c>
      <c r="F443" t="s">
        <v>45</v>
      </c>
      <c r="G443">
        <v>32.619999999999997</v>
      </c>
      <c r="H443">
        <v>4</v>
      </c>
      <c r="I443">
        <v>6.524</v>
      </c>
      <c r="J443">
        <v>137.00399999999999</v>
      </c>
      <c r="K443" s="1">
        <v>43494</v>
      </c>
      <c r="L443" s="2">
        <v>0.59166666666666667</v>
      </c>
      <c r="M443" t="s">
        <v>29</v>
      </c>
      <c r="N443">
        <v>130.47999999999999</v>
      </c>
      <c r="O443">
        <v>4.7619047620000003</v>
      </c>
      <c r="P443">
        <v>6.524</v>
      </c>
      <c r="Q443">
        <v>9</v>
      </c>
      <c r="R443" s="3">
        <f t="shared" si="19"/>
        <v>43494.591666666667</v>
      </c>
      <c r="S443">
        <f t="shared" si="21"/>
        <v>143.99999999790452</v>
      </c>
      <c r="T443">
        <f t="shared" si="20"/>
        <v>144</v>
      </c>
    </row>
    <row r="444" spans="1:20" hidden="1">
      <c r="A444" t="s">
        <v>415</v>
      </c>
      <c r="B444" t="s">
        <v>41</v>
      </c>
      <c r="C444" t="s">
        <v>42</v>
      </c>
      <c r="D444" t="s">
        <v>27</v>
      </c>
      <c r="E444" t="s">
        <v>21</v>
      </c>
      <c r="F444" t="s">
        <v>28</v>
      </c>
      <c r="G444">
        <v>23.65</v>
      </c>
      <c r="H444">
        <v>4</v>
      </c>
      <c r="I444">
        <v>4.7300000000000004</v>
      </c>
      <c r="J444">
        <v>99.33</v>
      </c>
      <c r="K444" s="1">
        <v>43495</v>
      </c>
      <c r="L444" s="2">
        <v>0.56388888888888888</v>
      </c>
      <c r="M444" t="s">
        <v>32</v>
      </c>
      <c r="N444">
        <v>94.6</v>
      </c>
      <c r="O444">
        <v>4.7619047620000003</v>
      </c>
      <c r="P444">
        <v>4.7300000000000004</v>
      </c>
      <c r="Q444">
        <v>4</v>
      </c>
      <c r="R444" s="3">
        <f t="shared" si="19"/>
        <v>43495.563888888886</v>
      </c>
      <c r="S444" t="str">
        <f t="shared" si="21"/>
        <v/>
      </c>
      <c r="T444" t="str">
        <f t="shared" si="20"/>
        <v/>
      </c>
    </row>
    <row r="445" spans="1:20">
      <c r="A445" t="s">
        <v>598</v>
      </c>
      <c r="B445" t="s">
        <v>41</v>
      </c>
      <c r="C445" t="s">
        <v>42</v>
      </c>
      <c r="D445" t="s">
        <v>27</v>
      </c>
      <c r="E445" t="s">
        <v>21</v>
      </c>
      <c r="F445" t="s">
        <v>28</v>
      </c>
      <c r="G445">
        <v>42.42</v>
      </c>
      <c r="H445">
        <v>8</v>
      </c>
      <c r="I445">
        <v>16.968</v>
      </c>
      <c r="J445">
        <v>356.32799999999997</v>
      </c>
      <c r="K445" s="1">
        <v>43495</v>
      </c>
      <c r="L445" s="2">
        <v>0.58194444444444449</v>
      </c>
      <c r="M445" t="s">
        <v>23</v>
      </c>
      <c r="N445">
        <v>339.36</v>
      </c>
      <c r="O445">
        <v>4.7619047620000003</v>
      </c>
      <c r="P445">
        <v>16.968</v>
      </c>
      <c r="Q445">
        <v>5.7</v>
      </c>
      <c r="R445" s="3">
        <f t="shared" si="19"/>
        <v>43495.581944444442</v>
      </c>
      <c r="S445">
        <f t="shared" si="21"/>
        <v>26.000000000931323</v>
      </c>
      <c r="T445">
        <f t="shared" si="20"/>
        <v>26</v>
      </c>
    </row>
    <row r="446" spans="1:20" hidden="1">
      <c r="A446" t="s">
        <v>421</v>
      </c>
      <c r="B446" t="s">
        <v>41</v>
      </c>
      <c r="C446" t="s">
        <v>42</v>
      </c>
      <c r="D446" t="s">
        <v>20</v>
      </c>
      <c r="E446" t="s">
        <v>177</v>
      </c>
      <c r="F446" t="s">
        <v>35</v>
      </c>
      <c r="G446">
        <v>75.819999999999993</v>
      </c>
      <c r="H446">
        <v>1</v>
      </c>
      <c r="I446">
        <v>3.7909999999999999</v>
      </c>
      <c r="J446">
        <v>79.611000000000004</v>
      </c>
      <c r="K446" s="1">
        <v>43496</v>
      </c>
      <c r="L446" s="2">
        <v>0.55486111111111114</v>
      </c>
      <c r="M446" t="s">
        <v>29</v>
      </c>
      <c r="N446">
        <v>75.819999999999993</v>
      </c>
      <c r="O446">
        <v>4.7619047620000003</v>
      </c>
      <c r="P446">
        <v>3.7909999999999999</v>
      </c>
      <c r="Q446">
        <v>5.8</v>
      </c>
      <c r="R446" s="3">
        <f t="shared" si="19"/>
        <v>43496.554861111108</v>
      </c>
      <c r="S446" t="str">
        <f t="shared" si="21"/>
        <v/>
      </c>
      <c r="T446" t="str">
        <f t="shared" si="20"/>
        <v/>
      </c>
    </row>
    <row r="447" spans="1:20">
      <c r="A447" t="s">
        <v>256</v>
      </c>
      <c r="B447" t="s">
        <v>41</v>
      </c>
      <c r="C447" t="s">
        <v>42</v>
      </c>
      <c r="D447" t="s">
        <v>27</v>
      </c>
      <c r="E447" t="s">
        <v>177</v>
      </c>
      <c r="F447" t="s">
        <v>28</v>
      </c>
      <c r="G447">
        <v>45.35</v>
      </c>
      <c r="H447">
        <v>6</v>
      </c>
      <c r="I447">
        <v>13.605</v>
      </c>
      <c r="J447">
        <v>285.70499999999998</v>
      </c>
      <c r="K447" s="1">
        <v>43496</v>
      </c>
      <c r="L447" s="2">
        <v>0.57222222222222219</v>
      </c>
      <c r="M447" t="s">
        <v>23</v>
      </c>
      <c r="N447">
        <v>272.10000000000002</v>
      </c>
      <c r="O447">
        <v>4.7619047620000003</v>
      </c>
      <c r="P447">
        <v>13.605</v>
      </c>
      <c r="Q447">
        <v>6.1</v>
      </c>
      <c r="R447" s="3">
        <f t="shared" si="19"/>
        <v>43496.572222222225</v>
      </c>
      <c r="S447">
        <f t="shared" si="21"/>
        <v>25.000000008149073</v>
      </c>
      <c r="T447">
        <f t="shared" si="20"/>
        <v>25</v>
      </c>
    </row>
    <row r="448" spans="1:20">
      <c r="A448" t="s">
        <v>346</v>
      </c>
      <c r="B448" t="s">
        <v>41</v>
      </c>
      <c r="C448" t="s">
        <v>42</v>
      </c>
      <c r="D448" t="s">
        <v>20</v>
      </c>
      <c r="E448" t="s">
        <v>177</v>
      </c>
      <c r="F448" t="s">
        <v>35</v>
      </c>
      <c r="G448">
        <v>79.930000000000007</v>
      </c>
      <c r="H448">
        <v>6</v>
      </c>
      <c r="I448">
        <v>23.978999999999999</v>
      </c>
      <c r="J448">
        <v>503.55900000000003</v>
      </c>
      <c r="K448" s="1">
        <v>43496</v>
      </c>
      <c r="L448" s="2">
        <v>0.58611111111111114</v>
      </c>
      <c r="M448" t="s">
        <v>29</v>
      </c>
      <c r="N448">
        <v>479.58</v>
      </c>
      <c r="O448">
        <v>4.7619047620000003</v>
      </c>
      <c r="P448">
        <v>23.978999999999999</v>
      </c>
      <c r="Q448">
        <v>5.5</v>
      </c>
      <c r="R448" s="3">
        <f t="shared" si="19"/>
        <v>43496.586111111108</v>
      </c>
      <c r="S448">
        <f t="shared" si="21"/>
        <v>19.999999991850927</v>
      </c>
      <c r="T448">
        <f t="shared" si="20"/>
        <v>20</v>
      </c>
    </row>
    <row r="449" spans="1:20">
      <c r="A449" t="s">
        <v>797</v>
      </c>
      <c r="B449" t="s">
        <v>41</v>
      </c>
      <c r="C449" t="s">
        <v>42</v>
      </c>
      <c r="D449" t="s">
        <v>27</v>
      </c>
      <c r="E449" t="s">
        <v>177</v>
      </c>
      <c r="F449" t="s">
        <v>28</v>
      </c>
      <c r="G449">
        <v>72.13</v>
      </c>
      <c r="H449">
        <v>10</v>
      </c>
      <c r="I449">
        <v>36.064999999999998</v>
      </c>
      <c r="J449">
        <v>757.36500000000001</v>
      </c>
      <c r="K449" s="1">
        <v>43496</v>
      </c>
      <c r="L449" s="2">
        <v>0.6333333333333333</v>
      </c>
      <c r="M449" t="s">
        <v>32</v>
      </c>
      <c r="N449">
        <v>721.3</v>
      </c>
      <c r="O449">
        <v>4.7619047620000003</v>
      </c>
      <c r="P449">
        <v>36.064999999999998</v>
      </c>
      <c r="Q449">
        <v>4.2</v>
      </c>
      <c r="R449" s="3">
        <f t="shared" si="19"/>
        <v>43496.633333333331</v>
      </c>
      <c r="S449">
        <f t="shared" si="21"/>
        <v>68.000000001629815</v>
      </c>
      <c r="T449">
        <f t="shared" si="20"/>
        <v>68</v>
      </c>
    </row>
    <row r="450" spans="1:20">
      <c r="A450" t="s">
        <v>466</v>
      </c>
      <c r="B450" t="s">
        <v>41</v>
      </c>
      <c r="C450" t="s">
        <v>42</v>
      </c>
      <c r="D450" t="s">
        <v>27</v>
      </c>
      <c r="E450" t="s">
        <v>177</v>
      </c>
      <c r="F450" t="s">
        <v>45</v>
      </c>
      <c r="G450">
        <v>69.08</v>
      </c>
      <c r="H450">
        <v>2</v>
      </c>
      <c r="I450">
        <v>6.9080000000000004</v>
      </c>
      <c r="J450">
        <v>145.06800000000001</v>
      </c>
      <c r="K450" s="1">
        <v>43496</v>
      </c>
      <c r="L450" s="2">
        <v>0.82499999999999996</v>
      </c>
      <c r="M450" t="s">
        <v>32</v>
      </c>
      <c r="N450">
        <v>138.16</v>
      </c>
      <c r="O450">
        <v>4.7619047620000003</v>
      </c>
      <c r="P450">
        <v>6.9080000000000004</v>
      </c>
      <c r="Q450">
        <v>6.9</v>
      </c>
      <c r="R450" s="3">
        <f t="shared" ref="R450:R513" si="22">K450+L450</f>
        <v>43496.824999999997</v>
      </c>
      <c r="S450">
        <f t="shared" si="21"/>
        <v>275.99999999860302</v>
      </c>
      <c r="T450">
        <f t="shared" si="20"/>
        <v>276</v>
      </c>
    </row>
    <row r="451" spans="1:20">
      <c r="A451" t="s">
        <v>815</v>
      </c>
      <c r="B451" t="s">
        <v>41</v>
      </c>
      <c r="C451" t="s">
        <v>42</v>
      </c>
      <c r="D451" t="s">
        <v>20</v>
      </c>
      <c r="E451" t="s">
        <v>177</v>
      </c>
      <c r="F451" t="s">
        <v>28</v>
      </c>
      <c r="G451">
        <v>87.87</v>
      </c>
      <c r="H451">
        <v>9</v>
      </c>
      <c r="I451">
        <v>39.541499999999999</v>
      </c>
      <c r="J451">
        <v>830.37149999999997</v>
      </c>
      <c r="K451" s="1">
        <v>43496</v>
      </c>
      <c r="L451" s="2">
        <v>0.85555555555555551</v>
      </c>
      <c r="M451" t="s">
        <v>23</v>
      </c>
      <c r="N451">
        <v>790.83</v>
      </c>
      <c r="O451">
        <v>4.7619047620000003</v>
      </c>
      <c r="P451">
        <v>39.541499999999999</v>
      </c>
      <c r="Q451">
        <v>5.6</v>
      </c>
      <c r="R451" s="3">
        <f t="shared" si="22"/>
        <v>43496.855555555558</v>
      </c>
      <c r="S451">
        <f t="shared" si="21"/>
        <v>44.00000000721775</v>
      </c>
      <c r="T451">
        <f t="shared" ref="T451:T514" si="23">IF(S451="","",ROUND(S451,2))</f>
        <v>44</v>
      </c>
    </row>
    <row r="452" spans="1:20">
      <c r="A452" t="s">
        <v>742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43</v>
      </c>
      <c r="H452">
        <v>4</v>
      </c>
      <c r="I452">
        <v>8.6</v>
      </c>
      <c r="J452">
        <v>180.6</v>
      </c>
      <c r="K452" s="1">
        <v>43496</v>
      </c>
      <c r="L452" s="2">
        <v>0.8666666666666667</v>
      </c>
      <c r="M452" t="s">
        <v>23</v>
      </c>
      <c r="N452">
        <v>172</v>
      </c>
      <c r="O452">
        <v>4.7619047620000003</v>
      </c>
      <c r="P452">
        <v>8.6</v>
      </c>
      <c r="Q452">
        <v>7.6</v>
      </c>
      <c r="R452" s="3">
        <f t="shared" si="22"/>
        <v>43496.866666666669</v>
      </c>
      <c r="S452">
        <f t="shared" si="21"/>
        <v>15.999999999767169</v>
      </c>
      <c r="T452">
        <f t="shared" si="23"/>
        <v>16</v>
      </c>
    </row>
    <row r="453" spans="1:20" hidden="1">
      <c r="A453" t="s">
        <v>286</v>
      </c>
      <c r="B453" t="s">
        <v>41</v>
      </c>
      <c r="C453" t="s">
        <v>42</v>
      </c>
      <c r="D453" t="s">
        <v>20</v>
      </c>
      <c r="E453" t="s">
        <v>177</v>
      </c>
      <c r="F453" t="s">
        <v>43</v>
      </c>
      <c r="G453">
        <v>46.55</v>
      </c>
      <c r="H453">
        <v>9</v>
      </c>
      <c r="I453">
        <v>20.947500000000002</v>
      </c>
      <c r="J453">
        <v>439.89749999999998</v>
      </c>
      <c r="K453" s="1">
        <v>43498</v>
      </c>
      <c r="L453" s="2">
        <v>0.64861111111111114</v>
      </c>
      <c r="M453" t="s">
        <v>23</v>
      </c>
      <c r="N453">
        <v>418.95</v>
      </c>
      <c r="O453">
        <v>4.7619047620000003</v>
      </c>
      <c r="P453">
        <v>20.947500000000002</v>
      </c>
      <c r="Q453">
        <v>6.4</v>
      </c>
      <c r="R453" s="3">
        <f t="shared" si="22"/>
        <v>43498.648611111108</v>
      </c>
      <c r="S453" t="str">
        <f t="shared" si="21"/>
        <v/>
      </c>
      <c r="T453" t="str">
        <f t="shared" si="23"/>
        <v/>
      </c>
    </row>
    <row r="454" spans="1:20">
      <c r="A454" t="s">
        <v>280</v>
      </c>
      <c r="B454" t="s">
        <v>41</v>
      </c>
      <c r="C454" t="s">
        <v>42</v>
      </c>
      <c r="D454" t="s">
        <v>27</v>
      </c>
      <c r="E454" t="s">
        <v>177</v>
      </c>
      <c r="F454" t="s">
        <v>31</v>
      </c>
      <c r="G454">
        <v>93.87</v>
      </c>
      <c r="H454">
        <v>8</v>
      </c>
      <c r="I454">
        <v>37.548000000000002</v>
      </c>
      <c r="J454">
        <v>788.50800000000004</v>
      </c>
      <c r="K454" s="1">
        <v>43498</v>
      </c>
      <c r="L454" s="2">
        <v>0.77916666666666667</v>
      </c>
      <c r="M454" t="s">
        <v>32</v>
      </c>
      <c r="N454">
        <v>750.96</v>
      </c>
      <c r="O454">
        <v>4.7619047620000003</v>
      </c>
      <c r="P454">
        <v>37.548000000000002</v>
      </c>
      <c r="Q454">
        <v>8.3000000000000007</v>
      </c>
      <c r="R454" s="3">
        <f t="shared" si="22"/>
        <v>43498.779166666667</v>
      </c>
      <c r="S454">
        <f t="shared" si="21"/>
        <v>188.00000000512227</v>
      </c>
      <c r="T454">
        <f t="shared" si="23"/>
        <v>188</v>
      </c>
    </row>
    <row r="455" spans="1:20">
      <c r="A455" t="s">
        <v>406</v>
      </c>
      <c r="B455" t="s">
        <v>41</v>
      </c>
      <c r="C455" t="s">
        <v>42</v>
      </c>
      <c r="D455" t="s">
        <v>20</v>
      </c>
      <c r="E455" t="s">
        <v>21</v>
      </c>
      <c r="F455" t="s">
        <v>28</v>
      </c>
      <c r="G455">
        <v>26.26</v>
      </c>
      <c r="H455">
        <v>7</v>
      </c>
      <c r="I455">
        <v>9.1910000000000007</v>
      </c>
      <c r="J455">
        <v>193.011</v>
      </c>
      <c r="K455" s="1">
        <v>43498</v>
      </c>
      <c r="L455" s="2">
        <v>0.81944444444444442</v>
      </c>
      <c r="M455" t="s">
        <v>29</v>
      </c>
      <c r="N455">
        <v>183.82</v>
      </c>
      <c r="O455">
        <v>4.7619047620000003</v>
      </c>
      <c r="P455">
        <v>9.1910000000000007</v>
      </c>
      <c r="Q455">
        <v>9.9</v>
      </c>
      <c r="R455" s="3">
        <f t="shared" si="22"/>
        <v>43498.819444444445</v>
      </c>
      <c r="S455">
        <f t="shared" si="21"/>
        <v>58.000000000465661</v>
      </c>
      <c r="T455">
        <f t="shared" si="23"/>
        <v>58</v>
      </c>
    </row>
    <row r="456" spans="1:20">
      <c r="A456" t="s">
        <v>756</v>
      </c>
      <c r="B456" t="s">
        <v>41</v>
      </c>
      <c r="C456" t="s">
        <v>42</v>
      </c>
      <c r="D456" t="s">
        <v>27</v>
      </c>
      <c r="E456" t="s">
        <v>21</v>
      </c>
      <c r="F456" t="s">
        <v>45</v>
      </c>
      <c r="G456">
        <v>25.56</v>
      </c>
      <c r="H456">
        <v>7</v>
      </c>
      <c r="I456">
        <v>8.9459999999999997</v>
      </c>
      <c r="J456">
        <v>187.86600000000001</v>
      </c>
      <c r="K456" s="1">
        <v>43498</v>
      </c>
      <c r="L456" s="2">
        <v>0.86250000000000004</v>
      </c>
      <c r="M456" t="s">
        <v>29</v>
      </c>
      <c r="N456">
        <v>178.92</v>
      </c>
      <c r="O456">
        <v>4.7619047620000003</v>
      </c>
      <c r="P456">
        <v>8.9459999999999997</v>
      </c>
      <c r="Q456">
        <v>7.1</v>
      </c>
      <c r="R456" s="3">
        <f t="shared" si="22"/>
        <v>43498.862500000003</v>
      </c>
      <c r="S456">
        <f t="shared" si="21"/>
        <v>62.000000003026798</v>
      </c>
      <c r="T456">
        <f t="shared" si="23"/>
        <v>62</v>
      </c>
    </row>
    <row r="457" spans="1:20" hidden="1">
      <c r="A457" t="s">
        <v>696</v>
      </c>
      <c r="B457" t="s">
        <v>41</v>
      </c>
      <c r="C457" t="s">
        <v>42</v>
      </c>
      <c r="D457" t="s">
        <v>27</v>
      </c>
      <c r="E457" t="s">
        <v>21</v>
      </c>
      <c r="F457" t="s">
        <v>35</v>
      </c>
      <c r="G457">
        <v>42.97</v>
      </c>
      <c r="H457">
        <v>3</v>
      </c>
      <c r="I457">
        <v>6.4455</v>
      </c>
      <c r="J457">
        <v>135.35550000000001</v>
      </c>
      <c r="K457" s="1">
        <v>43499</v>
      </c>
      <c r="L457" s="2">
        <v>0.49027777777777776</v>
      </c>
      <c r="M457" t="s">
        <v>29</v>
      </c>
      <c r="N457">
        <v>128.91</v>
      </c>
      <c r="O457">
        <v>4.7619047620000003</v>
      </c>
      <c r="P457">
        <v>6.4455</v>
      </c>
      <c r="Q457">
        <v>9.3000000000000007</v>
      </c>
      <c r="R457" s="3">
        <f t="shared" si="22"/>
        <v>43499.490277777775</v>
      </c>
      <c r="S457" t="str">
        <f t="shared" si="21"/>
        <v/>
      </c>
      <c r="T457" t="str">
        <f t="shared" si="23"/>
        <v/>
      </c>
    </row>
    <row r="458" spans="1:20">
      <c r="A458" t="s">
        <v>97</v>
      </c>
      <c r="B458" t="s">
        <v>41</v>
      </c>
      <c r="C458" t="s">
        <v>42</v>
      </c>
      <c r="D458" t="s">
        <v>20</v>
      </c>
      <c r="E458" t="s">
        <v>21</v>
      </c>
      <c r="F458" t="s">
        <v>35</v>
      </c>
      <c r="G458">
        <v>55.07</v>
      </c>
      <c r="H458">
        <v>9</v>
      </c>
      <c r="I458">
        <v>24.781500000000001</v>
      </c>
      <c r="J458">
        <v>520.41150000000005</v>
      </c>
      <c r="K458" s="1">
        <v>43499</v>
      </c>
      <c r="L458" s="2">
        <v>0.56944444444444442</v>
      </c>
      <c r="M458" t="s">
        <v>23</v>
      </c>
      <c r="N458">
        <v>495.63</v>
      </c>
      <c r="O458">
        <v>4.7619047620000003</v>
      </c>
      <c r="P458">
        <v>24.781500000000001</v>
      </c>
      <c r="Q458">
        <v>10</v>
      </c>
      <c r="R458" s="3">
        <f t="shared" si="22"/>
        <v>43499.569444444445</v>
      </c>
      <c r="S458">
        <f t="shared" si="21"/>
        <v>114.00000000488944</v>
      </c>
      <c r="T458">
        <f t="shared" si="23"/>
        <v>114</v>
      </c>
    </row>
    <row r="459" spans="1:20">
      <c r="A459" t="s">
        <v>855</v>
      </c>
      <c r="B459" t="s">
        <v>41</v>
      </c>
      <c r="C459" t="s">
        <v>42</v>
      </c>
      <c r="D459" t="s">
        <v>20</v>
      </c>
      <c r="E459" t="s">
        <v>177</v>
      </c>
      <c r="F459" t="s">
        <v>43</v>
      </c>
      <c r="G459">
        <v>47.16</v>
      </c>
      <c r="H459">
        <v>5</v>
      </c>
      <c r="I459">
        <v>11.79</v>
      </c>
      <c r="J459">
        <v>247.59</v>
      </c>
      <c r="K459" s="1">
        <v>43499</v>
      </c>
      <c r="L459" s="2">
        <v>0.60763888888888884</v>
      </c>
      <c r="M459" t="s">
        <v>32</v>
      </c>
      <c r="N459">
        <v>235.8</v>
      </c>
      <c r="O459">
        <v>4.7619047620000003</v>
      </c>
      <c r="P459">
        <v>11.79</v>
      </c>
      <c r="Q459">
        <v>6</v>
      </c>
      <c r="R459" s="3">
        <f t="shared" si="22"/>
        <v>43499.607638888891</v>
      </c>
      <c r="S459">
        <f t="shared" si="21"/>
        <v>55.000000001164153</v>
      </c>
      <c r="T459">
        <f t="shared" si="23"/>
        <v>55</v>
      </c>
    </row>
    <row r="460" spans="1:20">
      <c r="A460" t="s">
        <v>536</v>
      </c>
      <c r="B460" t="s">
        <v>41</v>
      </c>
      <c r="C460" t="s">
        <v>42</v>
      </c>
      <c r="D460" t="s">
        <v>20</v>
      </c>
      <c r="E460" t="s">
        <v>177</v>
      </c>
      <c r="F460" t="s">
        <v>35</v>
      </c>
      <c r="G460">
        <v>73.97</v>
      </c>
      <c r="H460">
        <v>1</v>
      </c>
      <c r="I460">
        <v>3.6985000000000001</v>
      </c>
      <c r="J460">
        <v>77.668499999999995</v>
      </c>
      <c r="K460" s="1">
        <v>43499</v>
      </c>
      <c r="L460" s="2">
        <v>0.66180555555555554</v>
      </c>
      <c r="M460" t="s">
        <v>32</v>
      </c>
      <c r="N460">
        <v>73.97</v>
      </c>
      <c r="O460">
        <v>4.7619047620000003</v>
      </c>
      <c r="P460">
        <v>3.6985000000000001</v>
      </c>
      <c r="Q460">
        <v>5.4</v>
      </c>
      <c r="R460" s="3">
        <f t="shared" si="22"/>
        <v>43499.661805555559</v>
      </c>
      <c r="S460">
        <f t="shared" si="21"/>
        <v>78.000000002793968</v>
      </c>
      <c r="T460">
        <f t="shared" si="23"/>
        <v>78</v>
      </c>
    </row>
    <row r="461" spans="1:20">
      <c r="A461" t="s">
        <v>983</v>
      </c>
      <c r="B461" t="s">
        <v>41</v>
      </c>
      <c r="C461" t="s">
        <v>42</v>
      </c>
      <c r="D461" t="s">
        <v>20</v>
      </c>
      <c r="E461" t="s">
        <v>177</v>
      </c>
      <c r="F461" t="s">
        <v>45</v>
      </c>
      <c r="G461">
        <v>53.78</v>
      </c>
      <c r="H461">
        <v>1</v>
      </c>
      <c r="I461">
        <v>2.6890000000000001</v>
      </c>
      <c r="J461">
        <v>56.469000000000001</v>
      </c>
      <c r="K461" s="1">
        <v>43499</v>
      </c>
      <c r="L461" s="2">
        <v>0.84236111111111112</v>
      </c>
      <c r="M461" t="s">
        <v>23</v>
      </c>
      <c r="N461">
        <v>53.78</v>
      </c>
      <c r="O461">
        <v>4.7619047620000003</v>
      </c>
      <c r="P461">
        <v>2.6890000000000001</v>
      </c>
      <c r="Q461">
        <v>4.7</v>
      </c>
      <c r="R461" s="3">
        <f t="shared" si="22"/>
        <v>43499.842361111114</v>
      </c>
      <c r="S461">
        <f t="shared" si="21"/>
        <v>259.99999999883585</v>
      </c>
      <c r="T461">
        <f t="shared" si="23"/>
        <v>260</v>
      </c>
    </row>
    <row r="462" spans="1:20" hidden="1">
      <c r="A462" t="s">
        <v>525</v>
      </c>
      <c r="B462" t="s">
        <v>41</v>
      </c>
      <c r="C462" t="s">
        <v>42</v>
      </c>
      <c r="D462" t="s">
        <v>20</v>
      </c>
      <c r="E462" t="s">
        <v>21</v>
      </c>
      <c r="F462" t="s">
        <v>31</v>
      </c>
      <c r="G462">
        <v>77.680000000000007</v>
      </c>
      <c r="H462">
        <v>9</v>
      </c>
      <c r="I462">
        <v>34.956000000000003</v>
      </c>
      <c r="J462">
        <v>734.07600000000002</v>
      </c>
      <c r="K462" s="1">
        <v>43500</v>
      </c>
      <c r="L462" s="2">
        <v>0.55625000000000002</v>
      </c>
      <c r="M462" t="s">
        <v>23</v>
      </c>
      <c r="N462">
        <v>699.12</v>
      </c>
      <c r="O462">
        <v>4.7619047620000003</v>
      </c>
      <c r="P462">
        <v>34.956000000000003</v>
      </c>
      <c r="Q462">
        <v>9.8000000000000007</v>
      </c>
      <c r="R462" s="3">
        <f t="shared" si="22"/>
        <v>43500.556250000001</v>
      </c>
      <c r="S462" t="str">
        <f t="shared" si="21"/>
        <v/>
      </c>
      <c r="T462" t="str">
        <f t="shared" si="23"/>
        <v/>
      </c>
    </row>
    <row r="463" spans="1:20">
      <c r="A463" t="s">
        <v>760</v>
      </c>
      <c r="B463" t="s">
        <v>41</v>
      </c>
      <c r="C463" t="s">
        <v>42</v>
      </c>
      <c r="D463" t="s">
        <v>20</v>
      </c>
      <c r="E463" t="s">
        <v>177</v>
      </c>
      <c r="F463" t="s">
        <v>43</v>
      </c>
      <c r="G463">
        <v>23.34</v>
      </c>
      <c r="H463">
        <v>4</v>
      </c>
      <c r="I463">
        <v>4.6680000000000001</v>
      </c>
      <c r="J463">
        <v>98.028000000000006</v>
      </c>
      <c r="K463" s="1">
        <v>43500</v>
      </c>
      <c r="L463" s="2">
        <v>0.78680555555555554</v>
      </c>
      <c r="M463" t="s">
        <v>23</v>
      </c>
      <c r="N463">
        <v>93.36</v>
      </c>
      <c r="O463">
        <v>4.7619047620000003</v>
      </c>
      <c r="P463">
        <v>4.6680000000000001</v>
      </c>
      <c r="Q463">
        <v>7.4</v>
      </c>
      <c r="R463" s="3">
        <f t="shared" si="22"/>
        <v>43500.786805555559</v>
      </c>
      <c r="S463">
        <f t="shared" si="21"/>
        <v>332.0000000030268</v>
      </c>
      <c r="T463">
        <f t="shared" si="23"/>
        <v>332</v>
      </c>
    </row>
    <row r="464" spans="1:20">
      <c r="A464" t="s">
        <v>592</v>
      </c>
      <c r="B464" t="s">
        <v>41</v>
      </c>
      <c r="C464" t="s">
        <v>42</v>
      </c>
      <c r="D464" t="s">
        <v>20</v>
      </c>
      <c r="E464" t="s">
        <v>21</v>
      </c>
      <c r="F464" t="s">
        <v>45</v>
      </c>
      <c r="G464">
        <v>72.040000000000006</v>
      </c>
      <c r="H464">
        <v>2</v>
      </c>
      <c r="I464">
        <v>7.2039999999999997</v>
      </c>
      <c r="J464">
        <v>151.28399999999999</v>
      </c>
      <c r="K464" s="1">
        <v>43500</v>
      </c>
      <c r="L464" s="2">
        <v>0.81805555555555554</v>
      </c>
      <c r="M464" t="s">
        <v>29</v>
      </c>
      <c r="N464">
        <v>144.08000000000001</v>
      </c>
      <c r="O464">
        <v>4.7619047620000003</v>
      </c>
      <c r="P464">
        <v>7.2039999999999997</v>
      </c>
      <c r="Q464">
        <v>9.5</v>
      </c>
      <c r="R464" s="3">
        <f t="shared" si="22"/>
        <v>43500.818055555559</v>
      </c>
      <c r="S464">
        <f t="shared" si="21"/>
        <v>45</v>
      </c>
      <c r="T464">
        <f t="shared" si="23"/>
        <v>45</v>
      </c>
    </row>
    <row r="465" spans="1:20">
      <c r="A465" t="s">
        <v>1015</v>
      </c>
      <c r="B465" t="s">
        <v>41</v>
      </c>
      <c r="C465" t="s">
        <v>42</v>
      </c>
      <c r="D465" t="s">
        <v>27</v>
      </c>
      <c r="E465" t="s">
        <v>21</v>
      </c>
      <c r="F465" t="s">
        <v>43</v>
      </c>
      <c r="G465">
        <v>67.77</v>
      </c>
      <c r="H465">
        <v>1</v>
      </c>
      <c r="I465">
        <v>3.3885000000000001</v>
      </c>
      <c r="J465">
        <v>71.158500000000004</v>
      </c>
      <c r="K465" s="1">
        <v>43500</v>
      </c>
      <c r="L465" s="2">
        <v>0.86319444444444449</v>
      </c>
      <c r="M465" t="s">
        <v>32</v>
      </c>
      <c r="N465">
        <v>67.77</v>
      </c>
      <c r="O465">
        <v>4.7619047620000003</v>
      </c>
      <c r="P465">
        <v>3.3885000000000001</v>
      </c>
      <c r="Q465">
        <v>6.5</v>
      </c>
      <c r="R465" s="3">
        <f t="shared" si="22"/>
        <v>43500.863194444442</v>
      </c>
      <c r="S465">
        <f t="shared" ref="S465:S528" si="24">IF(K465=K464, (R465-R464)*1440, "")</f>
        <v>64.999999991850927</v>
      </c>
      <c r="T465">
        <f t="shared" si="23"/>
        <v>65</v>
      </c>
    </row>
    <row r="466" spans="1:20" hidden="1">
      <c r="A466" t="s">
        <v>145</v>
      </c>
      <c r="B466" t="s">
        <v>41</v>
      </c>
      <c r="C466" t="s">
        <v>42</v>
      </c>
      <c r="D466" t="s">
        <v>20</v>
      </c>
      <c r="E466" t="s">
        <v>21</v>
      </c>
      <c r="F466" t="s">
        <v>35</v>
      </c>
      <c r="G466">
        <v>16.489999999999998</v>
      </c>
      <c r="H466">
        <v>2</v>
      </c>
      <c r="I466">
        <v>1.649</v>
      </c>
      <c r="J466">
        <v>34.628999999999998</v>
      </c>
      <c r="K466" s="1">
        <v>43501</v>
      </c>
      <c r="L466" s="2">
        <v>0.48055555555555557</v>
      </c>
      <c r="M466" t="s">
        <v>23</v>
      </c>
      <c r="N466">
        <v>32.979999999999997</v>
      </c>
      <c r="O466">
        <v>4.7619047620000003</v>
      </c>
      <c r="P466">
        <v>1.649</v>
      </c>
      <c r="Q466">
        <v>4.5999999999999996</v>
      </c>
      <c r="R466" s="3">
        <f t="shared" si="22"/>
        <v>43501.480555555558</v>
      </c>
      <c r="S466" t="str">
        <f t="shared" si="24"/>
        <v/>
      </c>
      <c r="T466" t="str">
        <f t="shared" si="23"/>
        <v/>
      </c>
    </row>
    <row r="467" spans="1:20">
      <c r="A467" t="s">
        <v>588</v>
      </c>
      <c r="B467" t="s">
        <v>41</v>
      </c>
      <c r="C467" t="s">
        <v>42</v>
      </c>
      <c r="D467" t="s">
        <v>27</v>
      </c>
      <c r="E467" t="s">
        <v>21</v>
      </c>
      <c r="F467" t="s">
        <v>22</v>
      </c>
      <c r="G467">
        <v>58.24</v>
      </c>
      <c r="H467">
        <v>9</v>
      </c>
      <c r="I467">
        <v>26.207999999999998</v>
      </c>
      <c r="J467">
        <v>550.36800000000005</v>
      </c>
      <c r="K467" s="1">
        <v>43501</v>
      </c>
      <c r="L467" s="2">
        <v>0.52361111111111114</v>
      </c>
      <c r="M467" t="s">
        <v>29</v>
      </c>
      <c r="N467">
        <v>524.16</v>
      </c>
      <c r="O467">
        <v>4.7619047620000003</v>
      </c>
      <c r="P467">
        <v>26.207999999999998</v>
      </c>
      <c r="Q467">
        <v>9.6999999999999993</v>
      </c>
      <c r="R467" s="3">
        <f t="shared" si="22"/>
        <v>43501.523611111108</v>
      </c>
      <c r="S467">
        <f t="shared" si="24"/>
        <v>61.999999992549419</v>
      </c>
      <c r="T467">
        <f t="shared" si="23"/>
        <v>62</v>
      </c>
    </row>
    <row r="468" spans="1:20">
      <c r="A468" t="s">
        <v>375</v>
      </c>
      <c r="B468" t="s">
        <v>41</v>
      </c>
      <c r="C468" t="s">
        <v>42</v>
      </c>
      <c r="D468" t="s">
        <v>20</v>
      </c>
      <c r="E468" t="s">
        <v>21</v>
      </c>
      <c r="F468" t="s">
        <v>43</v>
      </c>
      <c r="G468">
        <v>42.82</v>
      </c>
      <c r="H468">
        <v>9</v>
      </c>
      <c r="I468">
        <v>19.268999999999998</v>
      </c>
      <c r="J468">
        <v>404.649</v>
      </c>
      <c r="K468" s="1">
        <v>43501</v>
      </c>
      <c r="L468" s="2">
        <v>0.6430555555555556</v>
      </c>
      <c r="M468" t="s">
        <v>32</v>
      </c>
      <c r="N468">
        <v>385.38</v>
      </c>
      <c r="O468">
        <v>4.7619047620000003</v>
      </c>
      <c r="P468">
        <v>19.268999999999998</v>
      </c>
      <c r="Q468">
        <v>8.9</v>
      </c>
      <c r="R468" s="3">
        <f t="shared" si="22"/>
        <v>43501.643055555556</v>
      </c>
      <c r="S468">
        <f t="shared" si="24"/>
        <v>172.0000000053551</v>
      </c>
      <c r="T468">
        <f t="shared" si="23"/>
        <v>172</v>
      </c>
    </row>
    <row r="469" spans="1:20" hidden="1">
      <c r="A469" t="s">
        <v>239</v>
      </c>
      <c r="B469" t="s">
        <v>41</v>
      </c>
      <c r="C469" t="s">
        <v>42</v>
      </c>
      <c r="D469" t="s">
        <v>20</v>
      </c>
      <c r="E469" t="s">
        <v>177</v>
      </c>
      <c r="F469" t="s">
        <v>22</v>
      </c>
      <c r="G469">
        <v>25.9</v>
      </c>
      <c r="H469">
        <v>10</v>
      </c>
      <c r="I469">
        <v>12.95</v>
      </c>
      <c r="J469">
        <v>271.95</v>
      </c>
      <c r="K469" s="1">
        <v>43502</v>
      </c>
      <c r="L469" s="2">
        <v>0.61875000000000002</v>
      </c>
      <c r="M469" t="s">
        <v>23</v>
      </c>
      <c r="N469">
        <v>259</v>
      </c>
      <c r="O469">
        <v>4.7619047620000003</v>
      </c>
      <c r="P469">
        <v>12.95</v>
      </c>
      <c r="Q469">
        <v>8.6999999999999993</v>
      </c>
      <c r="R469" s="3">
        <f t="shared" si="22"/>
        <v>43502.618750000001</v>
      </c>
      <c r="S469" t="str">
        <f t="shared" si="24"/>
        <v/>
      </c>
      <c r="T469" t="str">
        <f t="shared" si="23"/>
        <v/>
      </c>
    </row>
    <row r="470" spans="1:20">
      <c r="A470" t="s">
        <v>930</v>
      </c>
      <c r="B470" t="s">
        <v>41</v>
      </c>
      <c r="C470" t="s">
        <v>42</v>
      </c>
      <c r="D470" t="s">
        <v>20</v>
      </c>
      <c r="E470" t="s">
        <v>177</v>
      </c>
      <c r="F470" t="s">
        <v>28</v>
      </c>
      <c r="G470">
        <v>50.45</v>
      </c>
      <c r="H470">
        <v>6</v>
      </c>
      <c r="I470">
        <v>15.135</v>
      </c>
      <c r="J470">
        <v>317.83499999999998</v>
      </c>
      <c r="K470" s="1">
        <v>43502</v>
      </c>
      <c r="L470" s="2">
        <v>0.63611111111111107</v>
      </c>
      <c r="M470" t="s">
        <v>32</v>
      </c>
      <c r="N470">
        <v>302.7</v>
      </c>
      <c r="O470">
        <v>4.7619047620000003</v>
      </c>
      <c r="P470">
        <v>15.135</v>
      </c>
      <c r="Q470">
        <v>8.9</v>
      </c>
      <c r="R470" s="3">
        <f t="shared" si="22"/>
        <v>43502.636111111111</v>
      </c>
      <c r="S470">
        <f t="shared" si="24"/>
        <v>24.999999997671694</v>
      </c>
      <c r="T470">
        <f t="shared" si="23"/>
        <v>25</v>
      </c>
    </row>
    <row r="471" spans="1:20">
      <c r="A471" t="s">
        <v>82</v>
      </c>
      <c r="B471" t="s">
        <v>41</v>
      </c>
      <c r="C471" t="s">
        <v>42</v>
      </c>
      <c r="D471" t="s">
        <v>20</v>
      </c>
      <c r="E471" t="s">
        <v>21</v>
      </c>
      <c r="F471" t="s">
        <v>43</v>
      </c>
      <c r="G471">
        <v>20.010000000000002</v>
      </c>
      <c r="H471">
        <v>9</v>
      </c>
      <c r="I471">
        <v>9.0045000000000002</v>
      </c>
      <c r="J471">
        <v>189.09450000000001</v>
      </c>
      <c r="K471" s="1">
        <v>43502</v>
      </c>
      <c r="L471" s="2">
        <v>0.65763888888888888</v>
      </c>
      <c r="M471" t="s">
        <v>23</v>
      </c>
      <c r="N471">
        <v>180.09</v>
      </c>
      <c r="O471">
        <v>4.7619047620000003</v>
      </c>
      <c r="P471">
        <v>9.0045000000000002</v>
      </c>
      <c r="Q471">
        <v>4.0999999999999996</v>
      </c>
      <c r="R471" s="3">
        <f t="shared" si="22"/>
        <v>43502.657638888886</v>
      </c>
      <c r="S471">
        <f t="shared" si="24"/>
        <v>30.99999999627471</v>
      </c>
      <c r="T471">
        <f t="shared" si="23"/>
        <v>31</v>
      </c>
    </row>
    <row r="472" spans="1:20">
      <c r="A472" t="s">
        <v>44</v>
      </c>
      <c r="B472" t="s">
        <v>41</v>
      </c>
      <c r="C472" t="s">
        <v>42</v>
      </c>
      <c r="D472" t="s">
        <v>20</v>
      </c>
      <c r="E472" t="s">
        <v>21</v>
      </c>
      <c r="F472" t="s">
        <v>45</v>
      </c>
      <c r="G472">
        <v>14.48</v>
      </c>
      <c r="H472">
        <v>4</v>
      </c>
      <c r="I472">
        <v>2.8959999999999999</v>
      </c>
      <c r="J472">
        <v>60.816000000000003</v>
      </c>
      <c r="K472" s="1">
        <v>43502</v>
      </c>
      <c r="L472" s="2">
        <v>0.75486111111111109</v>
      </c>
      <c r="M472" t="s">
        <v>23</v>
      </c>
      <c r="N472">
        <v>57.92</v>
      </c>
      <c r="O472">
        <v>4.7619047620000003</v>
      </c>
      <c r="P472">
        <v>2.8959999999999999</v>
      </c>
      <c r="Q472">
        <v>4.5</v>
      </c>
      <c r="R472" s="3">
        <f t="shared" si="22"/>
        <v>43502.754861111112</v>
      </c>
      <c r="S472">
        <f t="shared" si="24"/>
        <v>140.00000000582077</v>
      </c>
      <c r="T472">
        <f t="shared" si="23"/>
        <v>140</v>
      </c>
    </row>
    <row r="473" spans="1:20">
      <c r="A473" t="s">
        <v>568</v>
      </c>
      <c r="B473" t="s">
        <v>41</v>
      </c>
      <c r="C473" t="s">
        <v>42</v>
      </c>
      <c r="D473" t="s">
        <v>27</v>
      </c>
      <c r="E473" t="s">
        <v>177</v>
      </c>
      <c r="F473" t="s">
        <v>28</v>
      </c>
      <c r="G473">
        <v>22.95</v>
      </c>
      <c r="H473">
        <v>10</v>
      </c>
      <c r="I473">
        <v>11.475</v>
      </c>
      <c r="J473">
        <v>240.97499999999999</v>
      </c>
      <c r="K473" s="1">
        <v>43502</v>
      </c>
      <c r="L473" s="2">
        <v>0.80555555555555558</v>
      </c>
      <c r="M473" t="s">
        <v>23</v>
      </c>
      <c r="N473">
        <v>229.5</v>
      </c>
      <c r="O473">
        <v>4.7619047620000003</v>
      </c>
      <c r="P473">
        <v>11.475</v>
      </c>
      <c r="Q473">
        <v>8.1999999999999993</v>
      </c>
      <c r="R473" s="3">
        <f t="shared" si="22"/>
        <v>43502.805555555555</v>
      </c>
      <c r="S473">
        <f t="shared" si="24"/>
        <v>72.999999996973202</v>
      </c>
      <c r="T473">
        <f t="shared" si="23"/>
        <v>73</v>
      </c>
    </row>
    <row r="474" spans="1:20" hidden="1">
      <c r="A474" t="s">
        <v>564</v>
      </c>
      <c r="B474" t="s">
        <v>41</v>
      </c>
      <c r="C474" t="s">
        <v>42</v>
      </c>
      <c r="D474" t="s">
        <v>20</v>
      </c>
      <c r="E474" t="s">
        <v>21</v>
      </c>
      <c r="F474" t="s">
        <v>43</v>
      </c>
      <c r="G474">
        <v>54.36</v>
      </c>
      <c r="H474">
        <v>10</v>
      </c>
      <c r="I474">
        <v>27.18</v>
      </c>
      <c r="J474">
        <v>570.78</v>
      </c>
      <c r="K474" s="1">
        <v>43503</v>
      </c>
      <c r="L474" s="2">
        <v>0.4777777777777778</v>
      </c>
      <c r="M474" t="s">
        <v>32</v>
      </c>
      <c r="N474">
        <v>543.6</v>
      </c>
      <c r="O474">
        <v>4.7619047620000003</v>
      </c>
      <c r="P474">
        <v>27.18</v>
      </c>
      <c r="Q474">
        <v>6.1</v>
      </c>
      <c r="R474" s="3">
        <f t="shared" si="22"/>
        <v>43503.477777777778</v>
      </c>
      <c r="S474" t="str">
        <f t="shared" si="24"/>
        <v/>
      </c>
      <c r="T474" t="str">
        <f t="shared" si="23"/>
        <v/>
      </c>
    </row>
    <row r="475" spans="1:20">
      <c r="A475" t="s">
        <v>927</v>
      </c>
      <c r="B475" t="s">
        <v>41</v>
      </c>
      <c r="C475" t="s">
        <v>42</v>
      </c>
      <c r="D475" t="s">
        <v>27</v>
      </c>
      <c r="E475" t="s">
        <v>21</v>
      </c>
      <c r="F475" t="s">
        <v>28</v>
      </c>
      <c r="G475">
        <v>57.91</v>
      </c>
      <c r="H475">
        <v>8</v>
      </c>
      <c r="I475">
        <v>23.164000000000001</v>
      </c>
      <c r="J475">
        <v>486.44400000000002</v>
      </c>
      <c r="K475" s="1">
        <v>43503</v>
      </c>
      <c r="L475" s="2">
        <v>0.62916666666666665</v>
      </c>
      <c r="M475" t="s">
        <v>29</v>
      </c>
      <c r="N475">
        <v>463.28</v>
      </c>
      <c r="O475">
        <v>4.7619047620000003</v>
      </c>
      <c r="P475">
        <v>23.164000000000001</v>
      </c>
      <c r="Q475">
        <v>8.1</v>
      </c>
      <c r="R475" s="3">
        <f t="shared" si="22"/>
        <v>43503.629166666666</v>
      </c>
      <c r="S475">
        <f t="shared" si="24"/>
        <v>217.99999999813735</v>
      </c>
      <c r="T475">
        <f t="shared" si="23"/>
        <v>218</v>
      </c>
    </row>
    <row r="476" spans="1:20">
      <c r="A476" t="s">
        <v>993</v>
      </c>
      <c r="B476" t="s">
        <v>41</v>
      </c>
      <c r="C476" t="s">
        <v>42</v>
      </c>
      <c r="D476" t="s">
        <v>27</v>
      </c>
      <c r="E476" t="s">
        <v>177</v>
      </c>
      <c r="F476" t="s">
        <v>28</v>
      </c>
      <c r="G476">
        <v>46.02</v>
      </c>
      <c r="H476">
        <v>6</v>
      </c>
      <c r="I476">
        <v>13.805999999999999</v>
      </c>
      <c r="J476">
        <v>289.92599999999999</v>
      </c>
      <c r="K476" s="1">
        <v>43503</v>
      </c>
      <c r="L476" s="2">
        <v>0.66319444444444442</v>
      </c>
      <c r="M476" t="s">
        <v>29</v>
      </c>
      <c r="N476">
        <v>276.12</v>
      </c>
      <c r="O476">
        <v>4.7619047620000003</v>
      </c>
      <c r="P476">
        <v>13.805999999999999</v>
      </c>
      <c r="Q476">
        <v>7.1</v>
      </c>
      <c r="R476" s="3">
        <f t="shared" si="22"/>
        <v>43503.663194444445</v>
      </c>
      <c r="S476">
        <f t="shared" si="24"/>
        <v>49.000000002561137</v>
      </c>
      <c r="T476">
        <f t="shared" si="23"/>
        <v>49</v>
      </c>
    </row>
    <row r="477" spans="1:20">
      <c r="A477" t="s">
        <v>366</v>
      </c>
      <c r="B477" t="s">
        <v>41</v>
      </c>
      <c r="C477" t="s">
        <v>42</v>
      </c>
      <c r="D477" t="s">
        <v>27</v>
      </c>
      <c r="E477" t="s">
        <v>177</v>
      </c>
      <c r="F477" t="s">
        <v>31</v>
      </c>
      <c r="G477">
        <v>22.02</v>
      </c>
      <c r="H477">
        <v>9</v>
      </c>
      <c r="I477">
        <v>9.9090000000000007</v>
      </c>
      <c r="J477">
        <v>208.089</v>
      </c>
      <c r="K477" s="1">
        <v>43503</v>
      </c>
      <c r="L477" s="2">
        <v>0.78333333333333333</v>
      </c>
      <c r="M477" t="s">
        <v>29</v>
      </c>
      <c r="N477">
        <v>198.18</v>
      </c>
      <c r="O477">
        <v>4.7619047620000003</v>
      </c>
      <c r="P477">
        <v>9.9090000000000007</v>
      </c>
      <c r="Q477">
        <v>6.8</v>
      </c>
      <c r="R477" s="3">
        <f t="shared" si="22"/>
        <v>43503.783333333333</v>
      </c>
      <c r="S477">
        <f t="shared" si="24"/>
        <v>172.99999999813735</v>
      </c>
      <c r="T477">
        <f t="shared" si="23"/>
        <v>173</v>
      </c>
    </row>
    <row r="478" spans="1:20">
      <c r="A478" t="s">
        <v>1021</v>
      </c>
      <c r="B478" t="s">
        <v>41</v>
      </c>
      <c r="C478" t="s">
        <v>42</v>
      </c>
      <c r="D478" t="s">
        <v>27</v>
      </c>
      <c r="E478" t="s">
        <v>21</v>
      </c>
      <c r="F478" t="s">
        <v>45</v>
      </c>
      <c r="G478">
        <v>63.71</v>
      </c>
      <c r="H478">
        <v>5</v>
      </c>
      <c r="I478">
        <v>15.9275</v>
      </c>
      <c r="J478">
        <v>334.47750000000002</v>
      </c>
      <c r="K478" s="1">
        <v>43503</v>
      </c>
      <c r="L478" s="2">
        <v>0.8125</v>
      </c>
      <c r="M478" t="s">
        <v>23</v>
      </c>
      <c r="N478">
        <v>318.55</v>
      </c>
      <c r="O478">
        <v>4.7619047620000003</v>
      </c>
      <c r="P478">
        <v>15.9275</v>
      </c>
      <c r="Q478">
        <v>8.5</v>
      </c>
      <c r="R478" s="3">
        <f t="shared" si="22"/>
        <v>43503.8125</v>
      </c>
      <c r="S478">
        <f t="shared" si="24"/>
        <v>42.000000000698492</v>
      </c>
      <c r="T478">
        <f t="shared" si="23"/>
        <v>42</v>
      </c>
    </row>
    <row r="479" spans="1:20">
      <c r="A479" t="s">
        <v>493</v>
      </c>
      <c r="B479" t="s">
        <v>41</v>
      </c>
      <c r="C479" t="s">
        <v>42</v>
      </c>
      <c r="D479" t="s">
        <v>27</v>
      </c>
      <c r="E479" t="s">
        <v>177</v>
      </c>
      <c r="F479" t="s">
        <v>28</v>
      </c>
      <c r="G479">
        <v>79.39</v>
      </c>
      <c r="H479">
        <v>10</v>
      </c>
      <c r="I479">
        <v>39.695</v>
      </c>
      <c r="J479">
        <v>833.59500000000003</v>
      </c>
      <c r="K479" s="1">
        <v>43503</v>
      </c>
      <c r="L479" s="2">
        <v>0.85</v>
      </c>
      <c r="M479" t="s">
        <v>29</v>
      </c>
      <c r="N479">
        <v>793.9</v>
      </c>
      <c r="O479">
        <v>4.7619047620000003</v>
      </c>
      <c r="P479">
        <v>39.695</v>
      </c>
      <c r="Q479">
        <v>6.2</v>
      </c>
      <c r="R479" s="3">
        <f t="shared" si="22"/>
        <v>43503.85</v>
      </c>
      <c r="S479">
        <f t="shared" si="24"/>
        <v>53.999999997904524</v>
      </c>
      <c r="T479">
        <f t="shared" si="23"/>
        <v>54</v>
      </c>
    </row>
    <row r="480" spans="1:20" hidden="1">
      <c r="A480" t="s">
        <v>223</v>
      </c>
      <c r="B480" t="s">
        <v>41</v>
      </c>
      <c r="C480" t="s">
        <v>42</v>
      </c>
      <c r="D480" t="s">
        <v>20</v>
      </c>
      <c r="E480" t="s">
        <v>177</v>
      </c>
      <c r="F480" t="s">
        <v>31</v>
      </c>
      <c r="G480">
        <v>46.47</v>
      </c>
      <c r="H480">
        <v>4</v>
      </c>
      <c r="I480">
        <v>9.2940000000000005</v>
      </c>
      <c r="J480">
        <v>195.17400000000001</v>
      </c>
      <c r="K480" s="1">
        <v>43504</v>
      </c>
      <c r="L480" s="2">
        <v>0.45347222222222222</v>
      </c>
      <c r="M480" t="s">
        <v>29</v>
      </c>
      <c r="N480">
        <v>185.88</v>
      </c>
      <c r="O480">
        <v>4.7619047620000003</v>
      </c>
      <c r="P480">
        <v>9.2940000000000005</v>
      </c>
      <c r="Q480">
        <v>7</v>
      </c>
      <c r="R480" s="3">
        <f t="shared" si="22"/>
        <v>43504.453472222223</v>
      </c>
      <c r="S480" t="str">
        <f t="shared" si="24"/>
        <v/>
      </c>
      <c r="T480" t="str">
        <f t="shared" si="23"/>
        <v/>
      </c>
    </row>
    <row r="481" spans="1:20">
      <c r="A481" t="s">
        <v>957</v>
      </c>
      <c r="B481" t="s">
        <v>41</v>
      </c>
      <c r="C481" t="s">
        <v>42</v>
      </c>
      <c r="D481" t="s">
        <v>27</v>
      </c>
      <c r="E481" t="s">
        <v>21</v>
      </c>
      <c r="F481" t="s">
        <v>31</v>
      </c>
      <c r="G481">
        <v>16.37</v>
      </c>
      <c r="H481">
        <v>6</v>
      </c>
      <c r="I481">
        <v>4.9109999999999996</v>
      </c>
      <c r="J481">
        <v>103.131</v>
      </c>
      <c r="K481" s="1">
        <v>43504</v>
      </c>
      <c r="L481" s="2">
        <v>0.45694444444444443</v>
      </c>
      <c r="M481" t="s">
        <v>29</v>
      </c>
      <c r="N481">
        <v>98.22</v>
      </c>
      <c r="O481">
        <v>4.7619047620000003</v>
      </c>
      <c r="P481">
        <v>4.9109999999999996</v>
      </c>
      <c r="Q481">
        <v>7</v>
      </c>
      <c r="R481" s="3">
        <f t="shared" si="22"/>
        <v>43504.456944444442</v>
      </c>
      <c r="S481">
        <f t="shared" si="24"/>
        <v>4.9999999953433871</v>
      </c>
      <c r="T481">
        <f t="shared" si="23"/>
        <v>5</v>
      </c>
    </row>
    <row r="482" spans="1:20">
      <c r="A482" t="s">
        <v>164</v>
      </c>
      <c r="B482" t="s">
        <v>41</v>
      </c>
      <c r="C482" t="s">
        <v>42</v>
      </c>
      <c r="D482" t="s">
        <v>20</v>
      </c>
      <c r="E482" t="s">
        <v>21</v>
      </c>
      <c r="F482" t="s">
        <v>35</v>
      </c>
      <c r="G482">
        <v>90.28</v>
      </c>
      <c r="H482">
        <v>9</v>
      </c>
      <c r="I482">
        <v>40.625999999999998</v>
      </c>
      <c r="J482">
        <v>853.14599999999996</v>
      </c>
      <c r="K482" s="1">
        <v>43504</v>
      </c>
      <c r="L482" s="2">
        <v>0.46875</v>
      </c>
      <c r="M482" t="s">
        <v>23</v>
      </c>
      <c r="N482">
        <v>812.52</v>
      </c>
      <c r="O482">
        <v>4.7619047620000003</v>
      </c>
      <c r="P482">
        <v>40.625999999999998</v>
      </c>
      <c r="Q482">
        <v>7.2</v>
      </c>
      <c r="R482" s="3">
        <f t="shared" si="22"/>
        <v>43504.46875</v>
      </c>
      <c r="S482">
        <f t="shared" si="24"/>
        <v>17.000000003026798</v>
      </c>
      <c r="T482">
        <f t="shared" si="23"/>
        <v>17</v>
      </c>
    </row>
    <row r="483" spans="1:20">
      <c r="A483" t="s">
        <v>77</v>
      </c>
      <c r="B483" t="s">
        <v>41</v>
      </c>
      <c r="C483" t="s">
        <v>42</v>
      </c>
      <c r="D483" t="s">
        <v>20</v>
      </c>
      <c r="E483" t="s">
        <v>21</v>
      </c>
      <c r="F483" t="s">
        <v>35</v>
      </c>
      <c r="G483">
        <v>69.12</v>
      </c>
      <c r="H483">
        <v>6</v>
      </c>
      <c r="I483">
        <v>20.736000000000001</v>
      </c>
      <c r="J483">
        <v>435.45600000000002</v>
      </c>
      <c r="K483" s="1">
        <v>43504</v>
      </c>
      <c r="L483" s="2">
        <v>0.54374999999999996</v>
      </c>
      <c r="M483" t="s">
        <v>29</v>
      </c>
      <c r="N483">
        <v>414.72</v>
      </c>
      <c r="O483">
        <v>4.7619047620000003</v>
      </c>
      <c r="P483">
        <v>20.736000000000001</v>
      </c>
      <c r="Q483">
        <v>5.6</v>
      </c>
      <c r="R483" s="3">
        <f t="shared" si="22"/>
        <v>43504.543749999997</v>
      </c>
      <c r="S483">
        <f t="shared" si="24"/>
        <v>107.99999999580905</v>
      </c>
      <c r="T483">
        <f t="shared" si="23"/>
        <v>108</v>
      </c>
    </row>
    <row r="484" spans="1:20">
      <c r="A484" t="s">
        <v>641</v>
      </c>
      <c r="B484" t="s">
        <v>41</v>
      </c>
      <c r="C484" t="s">
        <v>42</v>
      </c>
      <c r="D484" t="s">
        <v>27</v>
      </c>
      <c r="E484" t="s">
        <v>177</v>
      </c>
      <c r="F484" t="s">
        <v>31</v>
      </c>
      <c r="G484">
        <v>31.75</v>
      </c>
      <c r="H484">
        <v>4</v>
      </c>
      <c r="I484">
        <v>6.35</v>
      </c>
      <c r="J484">
        <v>133.35</v>
      </c>
      <c r="K484" s="1">
        <v>43504</v>
      </c>
      <c r="L484" s="2">
        <v>0.6430555555555556</v>
      </c>
      <c r="M484" t="s">
        <v>29</v>
      </c>
      <c r="N484">
        <v>127</v>
      </c>
      <c r="O484">
        <v>4.7619047620000003</v>
      </c>
      <c r="P484">
        <v>6.35</v>
      </c>
      <c r="Q484">
        <v>8.6</v>
      </c>
      <c r="R484" s="3">
        <f t="shared" si="22"/>
        <v>43504.643055555556</v>
      </c>
      <c r="S484">
        <f t="shared" si="24"/>
        <v>143.00000000512227</v>
      </c>
      <c r="T484">
        <f t="shared" si="23"/>
        <v>143</v>
      </c>
    </row>
    <row r="485" spans="1:20">
      <c r="A485" t="s">
        <v>61</v>
      </c>
      <c r="B485" t="s">
        <v>41</v>
      </c>
      <c r="C485" t="s">
        <v>42</v>
      </c>
      <c r="D485" t="s">
        <v>20</v>
      </c>
      <c r="E485" t="s">
        <v>21</v>
      </c>
      <c r="F485" t="s">
        <v>45</v>
      </c>
      <c r="G485">
        <v>33.520000000000003</v>
      </c>
      <c r="H485">
        <v>1</v>
      </c>
      <c r="I485">
        <v>1.6759999999999999</v>
      </c>
      <c r="J485">
        <v>35.195999999999998</v>
      </c>
      <c r="K485" s="1">
        <v>43504</v>
      </c>
      <c r="L485" s="2">
        <v>0.64652777777777781</v>
      </c>
      <c r="M485" t="s">
        <v>29</v>
      </c>
      <c r="N485">
        <v>33.520000000000003</v>
      </c>
      <c r="O485">
        <v>4.7619047620000003</v>
      </c>
      <c r="P485">
        <v>1.6759999999999999</v>
      </c>
      <c r="Q485">
        <v>6.7</v>
      </c>
      <c r="R485" s="3">
        <f t="shared" si="22"/>
        <v>43504.646527777775</v>
      </c>
      <c r="S485">
        <f t="shared" si="24"/>
        <v>4.9999999953433871</v>
      </c>
      <c r="T485">
        <f t="shared" si="23"/>
        <v>5</v>
      </c>
    </row>
    <row r="486" spans="1:20" hidden="1">
      <c r="A486" t="s">
        <v>990</v>
      </c>
      <c r="B486" t="s">
        <v>41</v>
      </c>
      <c r="C486" t="s">
        <v>42</v>
      </c>
      <c r="D486" t="s">
        <v>20</v>
      </c>
      <c r="E486" t="s">
        <v>177</v>
      </c>
      <c r="F486" t="s">
        <v>31</v>
      </c>
      <c r="G486">
        <v>65.91</v>
      </c>
      <c r="H486">
        <v>6</v>
      </c>
      <c r="I486">
        <v>19.773</v>
      </c>
      <c r="J486">
        <v>415.233</v>
      </c>
      <c r="K486" s="1">
        <v>43505</v>
      </c>
      <c r="L486" s="2">
        <v>0.48958333333333331</v>
      </c>
      <c r="M486" t="s">
        <v>29</v>
      </c>
      <c r="N486">
        <v>395.46</v>
      </c>
      <c r="O486">
        <v>4.7619047620000003</v>
      </c>
      <c r="P486">
        <v>19.773</v>
      </c>
      <c r="Q486">
        <v>5.7</v>
      </c>
      <c r="R486" s="3">
        <f t="shared" si="22"/>
        <v>43505.489583333336</v>
      </c>
      <c r="S486" t="str">
        <f t="shared" si="24"/>
        <v/>
      </c>
      <c r="T486" t="str">
        <f t="shared" si="23"/>
        <v/>
      </c>
    </row>
    <row r="487" spans="1:20">
      <c r="A487" t="s">
        <v>937</v>
      </c>
      <c r="B487" t="s">
        <v>41</v>
      </c>
      <c r="C487" t="s">
        <v>42</v>
      </c>
      <c r="D487" t="s">
        <v>27</v>
      </c>
      <c r="E487" t="s">
        <v>177</v>
      </c>
      <c r="F487" t="s">
        <v>31</v>
      </c>
      <c r="G487">
        <v>45.97</v>
      </c>
      <c r="H487">
        <v>4</v>
      </c>
      <c r="I487">
        <v>9.1940000000000008</v>
      </c>
      <c r="J487">
        <v>193.07400000000001</v>
      </c>
      <c r="K487" s="1">
        <v>43505</v>
      </c>
      <c r="L487" s="2">
        <v>0.50138888888888888</v>
      </c>
      <c r="M487" t="s">
        <v>23</v>
      </c>
      <c r="N487">
        <v>183.88</v>
      </c>
      <c r="O487">
        <v>4.7619047620000003</v>
      </c>
      <c r="P487">
        <v>9.1940000000000008</v>
      </c>
      <c r="Q487">
        <v>5.0999999999999996</v>
      </c>
      <c r="R487" s="3">
        <f t="shared" si="22"/>
        <v>43505.501388888886</v>
      </c>
      <c r="S487">
        <f t="shared" si="24"/>
        <v>16.999999992549419</v>
      </c>
      <c r="T487">
        <f t="shared" si="23"/>
        <v>17</v>
      </c>
    </row>
    <row r="488" spans="1:20">
      <c r="A488" t="s">
        <v>282</v>
      </c>
      <c r="B488" t="s">
        <v>41</v>
      </c>
      <c r="C488" t="s">
        <v>42</v>
      </c>
      <c r="D488" t="s">
        <v>20</v>
      </c>
      <c r="E488" t="s">
        <v>21</v>
      </c>
      <c r="F488" t="s">
        <v>28</v>
      </c>
      <c r="G488">
        <v>81.400000000000006</v>
      </c>
      <c r="H488">
        <v>3</v>
      </c>
      <c r="I488">
        <v>12.21</v>
      </c>
      <c r="J488">
        <v>256.41000000000003</v>
      </c>
      <c r="K488" s="1">
        <v>43505</v>
      </c>
      <c r="L488" s="2">
        <v>0.82152777777777775</v>
      </c>
      <c r="M488" t="s">
        <v>29</v>
      </c>
      <c r="N488">
        <v>244.2</v>
      </c>
      <c r="O488">
        <v>4.7619047620000003</v>
      </c>
      <c r="P488">
        <v>12.21</v>
      </c>
      <c r="Q488">
        <v>4.8</v>
      </c>
      <c r="R488" s="3">
        <f t="shared" si="22"/>
        <v>43505.821527777778</v>
      </c>
      <c r="S488">
        <f t="shared" si="24"/>
        <v>461.00000000442378</v>
      </c>
      <c r="T488">
        <f t="shared" si="23"/>
        <v>461</v>
      </c>
    </row>
    <row r="489" spans="1:20">
      <c r="A489" t="s">
        <v>586</v>
      </c>
      <c r="B489" t="s">
        <v>41</v>
      </c>
      <c r="C489" t="s">
        <v>42</v>
      </c>
      <c r="D489" t="s">
        <v>27</v>
      </c>
      <c r="E489" t="s">
        <v>177</v>
      </c>
      <c r="F489" t="s">
        <v>45</v>
      </c>
      <c r="G489">
        <v>57.27</v>
      </c>
      <c r="H489">
        <v>3</v>
      </c>
      <c r="I489">
        <v>8.5905000000000005</v>
      </c>
      <c r="J489">
        <v>180.40049999999999</v>
      </c>
      <c r="K489" s="1">
        <v>43505</v>
      </c>
      <c r="L489" s="2">
        <v>0.85486111111111107</v>
      </c>
      <c r="M489" t="s">
        <v>23</v>
      </c>
      <c r="N489">
        <v>171.81</v>
      </c>
      <c r="O489">
        <v>4.7619047620000003</v>
      </c>
      <c r="P489">
        <v>8.5905000000000005</v>
      </c>
      <c r="Q489">
        <v>6.5</v>
      </c>
      <c r="R489" s="3">
        <f t="shared" si="22"/>
        <v>43505.854861111111</v>
      </c>
      <c r="S489">
        <f t="shared" si="24"/>
        <v>47.999999999301508</v>
      </c>
      <c r="T489">
        <f t="shared" si="23"/>
        <v>48</v>
      </c>
    </row>
    <row r="490" spans="1:20" hidden="1">
      <c r="A490" t="s">
        <v>83</v>
      </c>
      <c r="B490" t="s">
        <v>41</v>
      </c>
      <c r="C490" t="s">
        <v>42</v>
      </c>
      <c r="D490" t="s">
        <v>20</v>
      </c>
      <c r="E490" t="s">
        <v>21</v>
      </c>
      <c r="F490" t="s">
        <v>28</v>
      </c>
      <c r="G490">
        <v>18.93</v>
      </c>
      <c r="H490">
        <v>6</v>
      </c>
      <c r="I490">
        <v>5.6790000000000003</v>
      </c>
      <c r="J490">
        <v>119.259</v>
      </c>
      <c r="K490" s="1">
        <v>43506</v>
      </c>
      <c r="L490" s="2">
        <v>0.53125</v>
      </c>
      <c r="M490" t="s">
        <v>32</v>
      </c>
      <c r="N490">
        <v>113.58</v>
      </c>
      <c r="O490">
        <v>4.7619047620000003</v>
      </c>
      <c r="P490">
        <v>5.6790000000000003</v>
      </c>
      <c r="Q490">
        <v>8.1</v>
      </c>
      <c r="R490" s="3">
        <f t="shared" si="22"/>
        <v>43506.53125</v>
      </c>
      <c r="S490" t="str">
        <f t="shared" si="24"/>
        <v/>
      </c>
      <c r="T490" t="str">
        <f t="shared" si="23"/>
        <v/>
      </c>
    </row>
    <row r="491" spans="1:20">
      <c r="A491" t="s">
        <v>1007</v>
      </c>
      <c r="B491" t="s">
        <v>41</v>
      </c>
      <c r="C491" t="s">
        <v>42</v>
      </c>
      <c r="D491" t="s">
        <v>20</v>
      </c>
      <c r="E491" t="s">
        <v>177</v>
      </c>
      <c r="F491" t="s">
        <v>31</v>
      </c>
      <c r="G491">
        <v>36.909999999999997</v>
      </c>
      <c r="H491">
        <v>7</v>
      </c>
      <c r="I491">
        <v>12.9185</v>
      </c>
      <c r="J491">
        <v>271.2885</v>
      </c>
      <c r="K491" s="1">
        <v>43506</v>
      </c>
      <c r="L491" s="2">
        <v>0.57708333333333328</v>
      </c>
      <c r="M491" t="s">
        <v>23</v>
      </c>
      <c r="N491">
        <v>258.37</v>
      </c>
      <c r="O491">
        <v>4.7619047620000003</v>
      </c>
      <c r="P491">
        <v>12.9185</v>
      </c>
      <c r="Q491">
        <v>6.7</v>
      </c>
      <c r="R491" s="3">
        <f t="shared" si="22"/>
        <v>43506.57708333333</v>
      </c>
      <c r="S491">
        <f t="shared" si="24"/>
        <v>65.999999995110556</v>
      </c>
      <c r="T491">
        <f t="shared" si="23"/>
        <v>66</v>
      </c>
    </row>
    <row r="492" spans="1:20">
      <c r="A492" t="s">
        <v>376</v>
      </c>
      <c r="B492" t="s">
        <v>41</v>
      </c>
      <c r="C492" t="s">
        <v>42</v>
      </c>
      <c r="D492" t="s">
        <v>20</v>
      </c>
      <c r="E492" t="s">
        <v>177</v>
      </c>
      <c r="F492" t="s">
        <v>28</v>
      </c>
      <c r="G492">
        <v>48.09</v>
      </c>
      <c r="H492">
        <v>3</v>
      </c>
      <c r="I492">
        <v>7.2134999999999998</v>
      </c>
      <c r="J492">
        <v>151.48349999999999</v>
      </c>
      <c r="K492" s="1">
        <v>43506</v>
      </c>
      <c r="L492" s="2">
        <v>0.76597222222222228</v>
      </c>
      <c r="M492" t="s">
        <v>32</v>
      </c>
      <c r="N492">
        <v>144.27000000000001</v>
      </c>
      <c r="O492">
        <v>4.7619047620000003</v>
      </c>
      <c r="P492">
        <v>7.2134999999999998</v>
      </c>
      <c r="Q492">
        <v>7.8</v>
      </c>
      <c r="R492" s="3">
        <f t="shared" si="22"/>
        <v>43506.765972222223</v>
      </c>
      <c r="S492">
        <f t="shared" si="24"/>
        <v>272.00000000651926</v>
      </c>
      <c r="T492">
        <f t="shared" si="23"/>
        <v>272</v>
      </c>
    </row>
    <row r="493" spans="1:20">
      <c r="A493" t="s">
        <v>167</v>
      </c>
      <c r="B493" t="s">
        <v>41</v>
      </c>
      <c r="C493" t="s">
        <v>42</v>
      </c>
      <c r="D493" t="s">
        <v>27</v>
      </c>
      <c r="E493" t="s">
        <v>21</v>
      </c>
      <c r="F493" t="s">
        <v>35</v>
      </c>
      <c r="G493">
        <v>34.840000000000003</v>
      </c>
      <c r="H493">
        <v>4</v>
      </c>
      <c r="I493">
        <v>6.968</v>
      </c>
      <c r="J493">
        <v>146.328</v>
      </c>
      <c r="K493" s="1">
        <v>43506</v>
      </c>
      <c r="L493" s="2">
        <v>0.77500000000000002</v>
      </c>
      <c r="M493" t="s">
        <v>29</v>
      </c>
      <c r="N493">
        <v>139.36000000000001</v>
      </c>
      <c r="O493">
        <v>4.7619047620000003</v>
      </c>
      <c r="P493">
        <v>6.968</v>
      </c>
      <c r="Q493">
        <v>7.4</v>
      </c>
      <c r="R493" s="3">
        <f t="shared" si="22"/>
        <v>43506.775000000001</v>
      </c>
      <c r="S493">
        <f t="shared" si="24"/>
        <v>13.000000000465661</v>
      </c>
      <c r="T493">
        <f t="shared" si="23"/>
        <v>13</v>
      </c>
    </row>
    <row r="494" spans="1:20" hidden="1">
      <c r="A494" t="s">
        <v>796</v>
      </c>
      <c r="B494" t="s">
        <v>41</v>
      </c>
      <c r="C494" t="s">
        <v>42</v>
      </c>
      <c r="D494" t="s">
        <v>20</v>
      </c>
      <c r="E494" t="s">
        <v>21</v>
      </c>
      <c r="F494" t="s">
        <v>43</v>
      </c>
      <c r="G494">
        <v>77.2</v>
      </c>
      <c r="H494">
        <v>10</v>
      </c>
      <c r="I494">
        <v>38.6</v>
      </c>
      <c r="J494">
        <v>810.6</v>
      </c>
      <c r="K494" s="1">
        <v>43507</v>
      </c>
      <c r="L494" s="2">
        <v>0.44305555555555554</v>
      </c>
      <c r="M494" t="s">
        <v>32</v>
      </c>
      <c r="N494">
        <v>772</v>
      </c>
      <c r="O494">
        <v>4.7619047620000003</v>
      </c>
      <c r="P494">
        <v>38.6</v>
      </c>
      <c r="Q494">
        <v>5.6</v>
      </c>
      <c r="R494" s="3">
        <f t="shared" si="22"/>
        <v>43507.443055555559</v>
      </c>
      <c r="S494" t="str">
        <f t="shared" si="24"/>
        <v/>
      </c>
      <c r="T494" t="str">
        <f t="shared" si="23"/>
        <v/>
      </c>
    </row>
    <row r="495" spans="1:20">
      <c r="A495" t="s">
        <v>226</v>
      </c>
      <c r="B495" t="s">
        <v>41</v>
      </c>
      <c r="C495" t="s">
        <v>42</v>
      </c>
      <c r="D495" t="s">
        <v>27</v>
      </c>
      <c r="E495" t="s">
        <v>21</v>
      </c>
      <c r="F495" t="s">
        <v>31</v>
      </c>
      <c r="G495">
        <v>77.040000000000006</v>
      </c>
      <c r="H495">
        <v>3</v>
      </c>
      <c r="I495">
        <v>11.555999999999999</v>
      </c>
      <c r="J495">
        <v>242.67599999999999</v>
      </c>
      <c r="K495" s="1">
        <v>43507</v>
      </c>
      <c r="L495" s="2">
        <v>0.44374999999999998</v>
      </c>
      <c r="M495" t="s">
        <v>32</v>
      </c>
      <c r="N495">
        <v>231.12</v>
      </c>
      <c r="O495">
        <v>4.7619047620000003</v>
      </c>
      <c r="P495">
        <v>11.555999999999999</v>
      </c>
      <c r="Q495">
        <v>7.2</v>
      </c>
      <c r="R495" s="3">
        <f t="shared" si="22"/>
        <v>43507.443749999999</v>
      </c>
      <c r="S495">
        <f t="shared" si="24"/>
        <v>0.99999999278225005</v>
      </c>
      <c r="T495">
        <f t="shared" si="23"/>
        <v>1</v>
      </c>
    </row>
    <row r="496" spans="1:20">
      <c r="A496" t="s">
        <v>268</v>
      </c>
      <c r="B496" t="s">
        <v>41</v>
      </c>
      <c r="C496" t="s">
        <v>42</v>
      </c>
      <c r="D496" t="s">
        <v>27</v>
      </c>
      <c r="E496" t="s">
        <v>21</v>
      </c>
      <c r="F496" t="s">
        <v>22</v>
      </c>
      <c r="G496">
        <v>84.09</v>
      </c>
      <c r="H496">
        <v>9</v>
      </c>
      <c r="I496">
        <v>37.840499999999999</v>
      </c>
      <c r="J496">
        <v>794.65049999999997</v>
      </c>
      <c r="K496" s="1">
        <v>43507</v>
      </c>
      <c r="L496" s="2">
        <v>0.45416666666666666</v>
      </c>
      <c r="M496" t="s">
        <v>29</v>
      </c>
      <c r="N496">
        <v>756.81</v>
      </c>
      <c r="O496">
        <v>4.7619047620000003</v>
      </c>
      <c r="P496">
        <v>37.840499999999999</v>
      </c>
      <c r="Q496">
        <v>8</v>
      </c>
      <c r="R496" s="3">
        <f t="shared" si="22"/>
        <v>43507.45416666667</v>
      </c>
      <c r="S496">
        <f t="shared" si="24"/>
        <v>15.000000006984919</v>
      </c>
      <c r="T496">
        <f t="shared" si="23"/>
        <v>15</v>
      </c>
    </row>
    <row r="497" spans="1:20" hidden="1">
      <c r="A497" t="s">
        <v>254</v>
      </c>
      <c r="B497" t="s">
        <v>41</v>
      </c>
      <c r="C497" t="s">
        <v>42</v>
      </c>
      <c r="D497" t="s">
        <v>27</v>
      </c>
      <c r="E497" t="s">
        <v>177</v>
      </c>
      <c r="F497" t="s">
        <v>45</v>
      </c>
      <c r="G497">
        <v>94.87</v>
      </c>
      <c r="H497">
        <v>8</v>
      </c>
      <c r="I497">
        <v>37.948</v>
      </c>
      <c r="J497">
        <v>796.90800000000002</v>
      </c>
      <c r="K497" s="1">
        <v>43508</v>
      </c>
      <c r="L497" s="2">
        <v>0.54027777777777775</v>
      </c>
      <c r="M497" t="s">
        <v>23</v>
      </c>
      <c r="N497">
        <v>758.96</v>
      </c>
      <c r="O497">
        <v>4.7619047620000003</v>
      </c>
      <c r="P497">
        <v>37.948</v>
      </c>
      <c r="Q497">
        <v>8.6999999999999993</v>
      </c>
      <c r="R497" s="3">
        <f t="shared" si="22"/>
        <v>43508.540277777778</v>
      </c>
      <c r="S497" t="str">
        <f t="shared" si="24"/>
        <v/>
      </c>
      <c r="T497" t="str">
        <f t="shared" si="23"/>
        <v/>
      </c>
    </row>
    <row r="498" spans="1:20">
      <c r="A498" t="s">
        <v>519</v>
      </c>
      <c r="B498" t="s">
        <v>41</v>
      </c>
      <c r="C498" t="s">
        <v>42</v>
      </c>
      <c r="D498" t="s">
        <v>20</v>
      </c>
      <c r="E498" t="s">
        <v>177</v>
      </c>
      <c r="F498" t="s">
        <v>31</v>
      </c>
      <c r="G498">
        <v>60.38</v>
      </c>
      <c r="H498">
        <v>10</v>
      </c>
      <c r="I498">
        <v>30.19</v>
      </c>
      <c r="J498">
        <v>633.99</v>
      </c>
      <c r="K498" s="1">
        <v>43508</v>
      </c>
      <c r="L498" s="2">
        <v>0.67986111111111114</v>
      </c>
      <c r="M498" t="s">
        <v>29</v>
      </c>
      <c r="N498">
        <v>603.79999999999995</v>
      </c>
      <c r="O498">
        <v>4.7619047620000003</v>
      </c>
      <c r="P498">
        <v>30.19</v>
      </c>
      <c r="Q498">
        <v>6</v>
      </c>
      <c r="R498" s="3">
        <f t="shared" si="22"/>
        <v>43508.679861111108</v>
      </c>
      <c r="S498">
        <f t="shared" si="24"/>
        <v>200.99999999511056</v>
      </c>
      <c r="T498">
        <f t="shared" si="23"/>
        <v>201</v>
      </c>
    </row>
    <row r="499" spans="1:20">
      <c r="A499" t="s">
        <v>716</v>
      </c>
      <c r="B499" t="s">
        <v>41</v>
      </c>
      <c r="C499" t="s">
        <v>42</v>
      </c>
      <c r="D499" t="s">
        <v>20</v>
      </c>
      <c r="E499" t="s">
        <v>21</v>
      </c>
      <c r="F499" t="s">
        <v>28</v>
      </c>
      <c r="G499">
        <v>39.479999999999997</v>
      </c>
      <c r="H499">
        <v>1</v>
      </c>
      <c r="I499">
        <v>1.974</v>
      </c>
      <c r="J499">
        <v>41.454000000000001</v>
      </c>
      <c r="K499" s="1">
        <v>43508</v>
      </c>
      <c r="L499" s="2">
        <v>0.82152777777777775</v>
      </c>
      <c r="M499" t="s">
        <v>29</v>
      </c>
      <c r="N499">
        <v>39.479999999999997</v>
      </c>
      <c r="O499">
        <v>4.7619047620000003</v>
      </c>
      <c r="P499">
        <v>1.974</v>
      </c>
      <c r="Q499">
        <v>6.5</v>
      </c>
      <c r="R499" s="3">
        <f t="shared" si="22"/>
        <v>43508.821527777778</v>
      </c>
      <c r="S499">
        <f t="shared" si="24"/>
        <v>204.00000000488944</v>
      </c>
      <c r="T499">
        <f t="shared" si="23"/>
        <v>204</v>
      </c>
    </row>
    <row r="500" spans="1:20" hidden="1">
      <c r="A500" t="s">
        <v>578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20.18</v>
      </c>
      <c r="H500">
        <v>4</v>
      </c>
      <c r="I500">
        <v>4.0359999999999996</v>
      </c>
      <c r="J500">
        <v>84.756</v>
      </c>
      <c r="K500" s="1">
        <v>43509</v>
      </c>
      <c r="L500" s="2">
        <v>0.50972222222222219</v>
      </c>
      <c r="M500" t="s">
        <v>32</v>
      </c>
      <c r="N500">
        <v>80.72</v>
      </c>
      <c r="O500">
        <v>4.7619047620000003</v>
      </c>
      <c r="P500">
        <v>4.0359999999999996</v>
      </c>
      <c r="Q500">
        <v>5</v>
      </c>
      <c r="R500" s="3">
        <f t="shared" si="22"/>
        <v>43509.509722222225</v>
      </c>
      <c r="S500" t="str">
        <f t="shared" si="24"/>
        <v/>
      </c>
      <c r="T500" t="str">
        <f t="shared" si="23"/>
        <v/>
      </c>
    </row>
    <row r="501" spans="1:20">
      <c r="A501" t="s">
        <v>803</v>
      </c>
      <c r="B501" t="s">
        <v>41</v>
      </c>
      <c r="C501" t="s">
        <v>42</v>
      </c>
      <c r="D501" t="s">
        <v>27</v>
      </c>
      <c r="E501" t="s">
        <v>177</v>
      </c>
      <c r="F501" t="s">
        <v>35</v>
      </c>
      <c r="G501">
        <v>13.69</v>
      </c>
      <c r="H501">
        <v>6</v>
      </c>
      <c r="I501">
        <v>4.1070000000000002</v>
      </c>
      <c r="J501">
        <v>86.247</v>
      </c>
      <c r="K501" s="1">
        <v>43509</v>
      </c>
      <c r="L501" s="2">
        <v>0.58263888888888893</v>
      </c>
      <c r="M501" t="s">
        <v>29</v>
      </c>
      <c r="N501">
        <v>82.14</v>
      </c>
      <c r="O501">
        <v>4.7619047620000003</v>
      </c>
      <c r="P501">
        <v>4.1070000000000002</v>
      </c>
      <c r="Q501">
        <v>6.3</v>
      </c>
      <c r="R501" s="3">
        <f t="shared" si="22"/>
        <v>43509.582638888889</v>
      </c>
      <c r="S501">
        <f t="shared" si="24"/>
        <v>104.99999999650754</v>
      </c>
      <c r="T501">
        <f t="shared" si="23"/>
        <v>105</v>
      </c>
    </row>
    <row r="502" spans="1:20">
      <c r="A502" t="s">
        <v>491</v>
      </c>
      <c r="B502" t="s">
        <v>41</v>
      </c>
      <c r="C502" t="s">
        <v>42</v>
      </c>
      <c r="D502" t="s">
        <v>20</v>
      </c>
      <c r="E502" t="s">
        <v>21</v>
      </c>
      <c r="F502" t="s">
        <v>45</v>
      </c>
      <c r="G502">
        <v>29.56</v>
      </c>
      <c r="H502">
        <v>5</v>
      </c>
      <c r="I502">
        <v>7.39</v>
      </c>
      <c r="J502">
        <v>155.19</v>
      </c>
      <c r="K502" s="1">
        <v>43509</v>
      </c>
      <c r="L502" s="2">
        <v>0.70763888888888893</v>
      </c>
      <c r="M502" t="s">
        <v>29</v>
      </c>
      <c r="N502">
        <v>147.80000000000001</v>
      </c>
      <c r="O502">
        <v>4.7619047620000003</v>
      </c>
      <c r="P502">
        <v>7.39</v>
      </c>
      <c r="Q502">
        <v>6.9</v>
      </c>
      <c r="R502" s="3">
        <f t="shared" si="22"/>
        <v>43509.707638888889</v>
      </c>
      <c r="S502">
        <f t="shared" si="24"/>
        <v>180</v>
      </c>
      <c r="T502">
        <f t="shared" si="23"/>
        <v>180</v>
      </c>
    </row>
    <row r="503" spans="1:20" hidden="1">
      <c r="A503" t="s">
        <v>860</v>
      </c>
      <c r="B503" t="s">
        <v>41</v>
      </c>
      <c r="C503" t="s">
        <v>42</v>
      </c>
      <c r="D503" t="s">
        <v>20</v>
      </c>
      <c r="E503" t="s">
        <v>21</v>
      </c>
      <c r="F503" t="s">
        <v>35</v>
      </c>
      <c r="G503">
        <v>60.08</v>
      </c>
      <c r="H503">
        <v>7</v>
      </c>
      <c r="I503">
        <v>21.027999999999999</v>
      </c>
      <c r="J503">
        <v>441.58800000000002</v>
      </c>
      <c r="K503" s="1">
        <v>43510</v>
      </c>
      <c r="L503" s="2">
        <v>0.48333333333333334</v>
      </c>
      <c r="M503" t="s">
        <v>32</v>
      </c>
      <c r="N503">
        <v>420.56</v>
      </c>
      <c r="O503">
        <v>4.7619047620000003</v>
      </c>
      <c r="P503">
        <v>21.027999999999999</v>
      </c>
      <c r="Q503">
        <v>4.5</v>
      </c>
      <c r="R503" s="3">
        <f t="shared" si="22"/>
        <v>43510.48333333333</v>
      </c>
      <c r="S503" t="str">
        <f t="shared" si="24"/>
        <v/>
      </c>
      <c r="T503" t="str">
        <f t="shared" si="23"/>
        <v/>
      </c>
    </row>
    <row r="504" spans="1:20">
      <c r="A504" t="s">
        <v>99</v>
      </c>
      <c r="B504" t="s">
        <v>41</v>
      </c>
      <c r="C504" t="s">
        <v>42</v>
      </c>
      <c r="D504" t="s">
        <v>20</v>
      </c>
      <c r="E504" t="s">
        <v>21</v>
      </c>
      <c r="F504" t="s">
        <v>22</v>
      </c>
      <c r="G504">
        <v>75.739999999999995</v>
      </c>
      <c r="H504">
        <v>4</v>
      </c>
      <c r="I504">
        <v>15.148</v>
      </c>
      <c r="J504">
        <v>318.108</v>
      </c>
      <c r="K504" s="1">
        <v>43510</v>
      </c>
      <c r="L504" s="2">
        <v>0.60763888888888884</v>
      </c>
      <c r="M504" t="s">
        <v>29</v>
      </c>
      <c r="N504">
        <v>302.95999999999998</v>
      </c>
      <c r="O504">
        <v>4.7619047620000003</v>
      </c>
      <c r="P504">
        <v>15.148</v>
      </c>
      <c r="Q504">
        <v>7.6</v>
      </c>
      <c r="R504" s="3">
        <f t="shared" si="22"/>
        <v>43510.607638888891</v>
      </c>
      <c r="S504">
        <f t="shared" si="24"/>
        <v>179.00000000721775</v>
      </c>
      <c r="T504">
        <f t="shared" si="23"/>
        <v>179</v>
      </c>
    </row>
    <row r="505" spans="1:20" hidden="1">
      <c r="A505" t="s">
        <v>240</v>
      </c>
      <c r="B505" t="s">
        <v>41</v>
      </c>
      <c r="C505" t="s">
        <v>42</v>
      </c>
      <c r="D505" t="s">
        <v>20</v>
      </c>
      <c r="E505" t="s">
        <v>177</v>
      </c>
      <c r="F505" t="s">
        <v>31</v>
      </c>
      <c r="G505">
        <v>17.77</v>
      </c>
      <c r="H505">
        <v>5</v>
      </c>
      <c r="I505">
        <v>4.4424999999999999</v>
      </c>
      <c r="J505">
        <v>93.292500000000004</v>
      </c>
      <c r="K505" s="1">
        <v>43511</v>
      </c>
      <c r="L505" s="2">
        <v>0.52916666666666667</v>
      </c>
      <c r="M505" t="s">
        <v>32</v>
      </c>
      <c r="N505">
        <v>88.85</v>
      </c>
      <c r="O505">
        <v>4.7619047620000003</v>
      </c>
      <c r="P505">
        <v>4.4424999999999999</v>
      </c>
      <c r="Q505">
        <v>5.4</v>
      </c>
      <c r="R505" s="3">
        <f t="shared" si="22"/>
        <v>43511.529166666667</v>
      </c>
      <c r="S505" t="str">
        <f t="shared" si="24"/>
        <v/>
      </c>
      <c r="T505" t="str">
        <f t="shared" si="23"/>
        <v/>
      </c>
    </row>
    <row r="506" spans="1:20">
      <c r="A506" t="s">
        <v>147</v>
      </c>
      <c r="B506" t="s">
        <v>41</v>
      </c>
      <c r="C506" t="s">
        <v>42</v>
      </c>
      <c r="D506" t="s">
        <v>20</v>
      </c>
      <c r="E506" t="s">
        <v>21</v>
      </c>
      <c r="F506" t="s">
        <v>45</v>
      </c>
      <c r="G506">
        <v>72.84</v>
      </c>
      <c r="H506">
        <v>7</v>
      </c>
      <c r="I506">
        <v>25.494</v>
      </c>
      <c r="J506">
        <v>535.37400000000002</v>
      </c>
      <c r="K506" s="1">
        <v>43511</v>
      </c>
      <c r="L506" s="2">
        <v>0.53055555555555556</v>
      </c>
      <c r="M506" t="s">
        <v>29</v>
      </c>
      <c r="N506">
        <v>509.88</v>
      </c>
      <c r="O506">
        <v>4.7619047620000003</v>
      </c>
      <c r="P506">
        <v>25.494</v>
      </c>
      <c r="Q506">
        <v>8.4</v>
      </c>
      <c r="R506" s="3">
        <f t="shared" si="22"/>
        <v>43511.530555555553</v>
      </c>
      <c r="S506">
        <f t="shared" si="24"/>
        <v>1.9999999960418791</v>
      </c>
      <c r="T506">
        <f t="shared" si="23"/>
        <v>2</v>
      </c>
    </row>
    <row r="507" spans="1:20">
      <c r="A507" t="s">
        <v>894</v>
      </c>
      <c r="B507" t="s">
        <v>41</v>
      </c>
      <c r="C507" t="s">
        <v>42</v>
      </c>
      <c r="D507" t="s">
        <v>27</v>
      </c>
      <c r="E507" t="s">
        <v>177</v>
      </c>
      <c r="F507" t="s">
        <v>22</v>
      </c>
      <c r="G507">
        <v>57.59</v>
      </c>
      <c r="H507">
        <v>6</v>
      </c>
      <c r="I507">
        <v>17.277000000000001</v>
      </c>
      <c r="J507">
        <v>362.81700000000001</v>
      </c>
      <c r="K507" s="1">
        <v>43511</v>
      </c>
      <c r="L507" s="2">
        <v>0.57708333333333328</v>
      </c>
      <c r="M507" t="s">
        <v>29</v>
      </c>
      <c r="N507">
        <v>345.54</v>
      </c>
      <c r="O507">
        <v>4.7619047620000003</v>
      </c>
      <c r="P507">
        <v>17.277000000000001</v>
      </c>
      <c r="Q507">
        <v>5.0999999999999996</v>
      </c>
      <c r="R507" s="3">
        <f t="shared" si="22"/>
        <v>43511.57708333333</v>
      </c>
      <c r="S507">
        <f t="shared" si="24"/>
        <v>66.999999998370185</v>
      </c>
      <c r="T507">
        <f t="shared" si="23"/>
        <v>67</v>
      </c>
    </row>
    <row r="508" spans="1:20">
      <c r="A508" t="s">
        <v>492</v>
      </c>
      <c r="B508" t="s">
        <v>41</v>
      </c>
      <c r="C508" t="s">
        <v>42</v>
      </c>
      <c r="D508" t="s">
        <v>20</v>
      </c>
      <c r="E508" t="s">
        <v>21</v>
      </c>
      <c r="F508" t="s">
        <v>43</v>
      </c>
      <c r="G508">
        <v>77.400000000000006</v>
      </c>
      <c r="H508">
        <v>9</v>
      </c>
      <c r="I508">
        <v>34.83</v>
      </c>
      <c r="J508">
        <v>731.43</v>
      </c>
      <c r="K508" s="1">
        <v>43511</v>
      </c>
      <c r="L508" s="2">
        <v>0.59375</v>
      </c>
      <c r="M508" t="s">
        <v>32</v>
      </c>
      <c r="N508">
        <v>696.6</v>
      </c>
      <c r="O508">
        <v>4.7619047620000003</v>
      </c>
      <c r="P508">
        <v>34.83</v>
      </c>
      <c r="Q508">
        <v>4.5</v>
      </c>
      <c r="R508" s="3">
        <f t="shared" si="22"/>
        <v>43511.59375</v>
      </c>
      <c r="S508">
        <f t="shared" si="24"/>
        <v>24.000000004889444</v>
      </c>
      <c r="T508">
        <f t="shared" si="23"/>
        <v>24</v>
      </c>
    </row>
    <row r="509" spans="1:20">
      <c r="A509" t="s">
        <v>962</v>
      </c>
      <c r="B509" t="s">
        <v>41</v>
      </c>
      <c r="C509" t="s">
        <v>42</v>
      </c>
      <c r="D509" t="s">
        <v>20</v>
      </c>
      <c r="E509" t="s">
        <v>177</v>
      </c>
      <c r="F509" t="s">
        <v>35</v>
      </c>
      <c r="G509">
        <v>88.31</v>
      </c>
      <c r="H509">
        <v>1</v>
      </c>
      <c r="I509">
        <v>4.4154999999999998</v>
      </c>
      <c r="J509">
        <v>92.725499999999997</v>
      </c>
      <c r="K509" s="1">
        <v>43511</v>
      </c>
      <c r="L509" s="2">
        <v>0.73472222222222228</v>
      </c>
      <c r="M509" t="s">
        <v>32</v>
      </c>
      <c r="N509">
        <v>88.31</v>
      </c>
      <c r="O509">
        <v>4.7619047620000003</v>
      </c>
      <c r="P509">
        <v>4.4154999999999998</v>
      </c>
      <c r="Q509">
        <v>5.2</v>
      </c>
      <c r="R509" s="3">
        <f t="shared" si="22"/>
        <v>43511.734722222223</v>
      </c>
      <c r="S509">
        <f t="shared" si="24"/>
        <v>203.00000000162981</v>
      </c>
      <c r="T509">
        <f t="shared" si="23"/>
        <v>203</v>
      </c>
    </row>
    <row r="510" spans="1:20">
      <c r="A510" t="s">
        <v>378</v>
      </c>
      <c r="B510" t="s">
        <v>41</v>
      </c>
      <c r="C510" t="s">
        <v>42</v>
      </c>
      <c r="D510" t="s">
        <v>20</v>
      </c>
      <c r="E510" t="s">
        <v>21</v>
      </c>
      <c r="F510" t="s">
        <v>22</v>
      </c>
      <c r="G510">
        <v>76.900000000000006</v>
      </c>
      <c r="H510">
        <v>7</v>
      </c>
      <c r="I510">
        <v>26.914999999999999</v>
      </c>
      <c r="J510">
        <v>565.21500000000003</v>
      </c>
      <c r="K510" s="1">
        <v>43511</v>
      </c>
      <c r="L510" s="2">
        <v>0.84791666666666665</v>
      </c>
      <c r="M510" t="s">
        <v>29</v>
      </c>
      <c r="N510">
        <v>538.29999999999995</v>
      </c>
      <c r="O510">
        <v>4.7619047620000003</v>
      </c>
      <c r="P510">
        <v>26.914999999999999</v>
      </c>
      <c r="Q510">
        <v>7.7</v>
      </c>
      <c r="R510" s="3">
        <f t="shared" si="22"/>
        <v>43511.847916666666</v>
      </c>
      <c r="S510">
        <f t="shared" si="24"/>
        <v>162.9999999969732</v>
      </c>
      <c r="T510">
        <f t="shared" si="23"/>
        <v>163</v>
      </c>
    </row>
    <row r="511" spans="1:20">
      <c r="A511" t="s">
        <v>964</v>
      </c>
      <c r="B511" t="s">
        <v>41</v>
      </c>
      <c r="C511" t="s">
        <v>42</v>
      </c>
      <c r="D511" t="s">
        <v>27</v>
      </c>
      <c r="E511" t="s">
        <v>21</v>
      </c>
      <c r="F511" t="s">
        <v>28</v>
      </c>
      <c r="G511">
        <v>88.25</v>
      </c>
      <c r="H511">
        <v>9</v>
      </c>
      <c r="I511">
        <v>39.712499999999999</v>
      </c>
      <c r="J511">
        <v>833.96249999999998</v>
      </c>
      <c r="K511" s="1">
        <v>43511</v>
      </c>
      <c r="L511" s="2">
        <v>0.86875000000000002</v>
      </c>
      <c r="M511" t="s">
        <v>32</v>
      </c>
      <c r="N511">
        <v>794.25</v>
      </c>
      <c r="O511">
        <v>4.7619047620000003</v>
      </c>
      <c r="P511">
        <v>39.712499999999999</v>
      </c>
      <c r="Q511">
        <v>7.6</v>
      </c>
      <c r="R511" s="3">
        <f t="shared" si="22"/>
        <v>43511.868750000001</v>
      </c>
      <c r="S511">
        <f t="shared" si="24"/>
        <v>30.00000000349246</v>
      </c>
      <c r="T511">
        <f t="shared" si="23"/>
        <v>30</v>
      </c>
    </row>
    <row r="512" spans="1:20" hidden="1">
      <c r="A512" t="s">
        <v>891</v>
      </c>
      <c r="B512" t="s">
        <v>41</v>
      </c>
      <c r="C512" t="s">
        <v>42</v>
      </c>
      <c r="D512" t="s">
        <v>27</v>
      </c>
      <c r="E512" t="s">
        <v>21</v>
      </c>
      <c r="F512" t="s">
        <v>45</v>
      </c>
      <c r="G512">
        <v>36.51</v>
      </c>
      <c r="H512">
        <v>9</v>
      </c>
      <c r="I512">
        <v>16.429500000000001</v>
      </c>
      <c r="J512">
        <v>345.01949999999999</v>
      </c>
      <c r="K512" s="1">
        <v>43512</v>
      </c>
      <c r="L512" s="2">
        <v>0.45277777777777778</v>
      </c>
      <c r="M512" t="s">
        <v>29</v>
      </c>
      <c r="N512">
        <v>328.59</v>
      </c>
      <c r="O512">
        <v>4.7619047620000003</v>
      </c>
      <c r="P512">
        <v>16.429500000000001</v>
      </c>
      <c r="Q512">
        <v>4.2</v>
      </c>
      <c r="R512" s="3">
        <f t="shared" si="22"/>
        <v>43512.452777777777</v>
      </c>
      <c r="S512" t="str">
        <f t="shared" si="24"/>
        <v/>
      </c>
      <c r="T512" t="str">
        <f t="shared" si="23"/>
        <v/>
      </c>
    </row>
    <row r="513" spans="1:20">
      <c r="A513" t="s">
        <v>173</v>
      </c>
      <c r="B513" t="s">
        <v>41</v>
      </c>
      <c r="C513" t="s">
        <v>42</v>
      </c>
      <c r="D513" t="s">
        <v>27</v>
      </c>
      <c r="E513" t="s">
        <v>21</v>
      </c>
      <c r="F513" t="s">
        <v>35</v>
      </c>
      <c r="G513">
        <v>51.91</v>
      </c>
      <c r="H513">
        <v>10</v>
      </c>
      <c r="I513">
        <v>25.954999999999998</v>
      </c>
      <c r="J513">
        <v>545.05499999999995</v>
      </c>
      <c r="K513" s="1">
        <v>43512</v>
      </c>
      <c r="L513" s="2">
        <v>0.51458333333333328</v>
      </c>
      <c r="M513" t="s">
        <v>29</v>
      </c>
      <c r="N513">
        <v>519.1</v>
      </c>
      <c r="O513">
        <v>4.7619047620000003</v>
      </c>
      <c r="P513">
        <v>25.954999999999998</v>
      </c>
      <c r="Q513">
        <v>8.1999999999999993</v>
      </c>
      <c r="R513" s="3">
        <f t="shared" si="22"/>
        <v>43512.51458333333</v>
      </c>
      <c r="S513">
        <f t="shared" si="24"/>
        <v>88.999999996740371</v>
      </c>
      <c r="T513">
        <f t="shared" si="23"/>
        <v>89</v>
      </c>
    </row>
    <row r="514" spans="1:20">
      <c r="A514" t="s">
        <v>660</v>
      </c>
      <c r="B514" t="s">
        <v>41</v>
      </c>
      <c r="C514" t="s">
        <v>42</v>
      </c>
      <c r="D514" t="s">
        <v>20</v>
      </c>
      <c r="E514" t="s">
        <v>177</v>
      </c>
      <c r="F514" t="s">
        <v>45</v>
      </c>
      <c r="G514">
        <v>91.35</v>
      </c>
      <c r="H514">
        <v>1</v>
      </c>
      <c r="I514">
        <v>4.5674999999999999</v>
      </c>
      <c r="J514">
        <v>95.917500000000004</v>
      </c>
      <c r="K514" s="1">
        <v>43512</v>
      </c>
      <c r="L514" s="2">
        <v>0.65416666666666667</v>
      </c>
      <c r="M514" t="s">
        <v>29</v>
      </c>
      <c r="N514">
        <v>91.35</v>
      </c>
      <c r="O514">
        <v>4.7619047620000003</v>
      </c>
      <c r="P514">
        <v>4.5674999999999999</v>
      </c>
      <c r="Q514">
        <v>6.8</v>
      </c>
      <c r="R514" s="3">
        <f t="shared" ref="R514:R577" si="25">K514+L514</f>
        <v>43512.654166666667</v>
      </c>
      <c r="S514">
        <f t="shared" si="24"/>
        <v>201.00000000558794</v>
      </c>
      <c r="T514">
        <f t="shared" si="23"/>
        <v>201</v>
      </c>
    </row>
    <row r="515" spans="1:20">
      <c r="A515" t="s">
        <v>690</v>
      </c>
      <c r="B515" t="s">
        <v>41</v>
      </c>
      <c r="C515" t="s">
        <v>42</v>
      </c>
      <c r="D515" t="s">
        <v>20</v>
      </c>
      <c r="E515" t="s">
        <v>177</v>
      </c>
      <c r="F515" t="s">
        <v>45</v>
      </c>
      <c r="G515">
        <v>60.18</v>
      </c>
      <c r="H515">
        <v>4</v>
      </c>
      <c r="I515">
        <v>12.036</v>
      </c>
      <c r="J515">
        <v>252.756</v>
      </c>
      <c r="K515" s="1">
        <v>43512</v>
      </c>
      <c r="L515" s="2">
        <v>0.75277777777777777</v>
      </c>
      <c r="M515" t="s">
        <v>32</v>
      </c>
      <c r="N515">
        <v>240.72</v>
      </c>
      <c r="O515">
        <v>4.7619047620000003</v>
      </c>
      <c r="P515">
        <v>12.036</v>
      </c>
      <c r="Q515">
        <v>9.4</v>
      </c>
      <c r="R515" s="3">
        <f t="shared" si="25"/>
        <v>43512.75277777778</v>
      </c>
      <c r="S515">
        <f t="shared" si="24"/>
        <v>142.00000000186265</v>
      </c>
      <c r="T515">
        <f t="shared" ref="T515:T578" si="26">IF(S515="","",ROUND(S515,2))</f>
        <v>142</v>
      </c>
    </row>
    <row r="516" spans="1:20" hidden="1">
      <c r="A516" t="s">
        <v>168</v>
      </c>
      <c r="B516" t="s">
        <v>41</v>
      </c>
      <c r="C516" t="s">
        <v>42</v>
      </c>
      <c r="D516" t="s">
        <v>20</v>
      </c>
      <c r="E516" t="s">
        <v>21</v>
      </c>
      <c r="F516" t="s">
        <v>28</v>
      </c>
      <c r="G516">
        <v>87.45</v>
      </c>
      <c r="H516">
        <v>6</v>
      </c>
      <c r="I516">
        <v>26.234999999999999</v>
      </c>
      <c r="J516">
        <v>550.93499999999995</v>
      </c>
      <c r="K516" s="1">
        <v>43513</v>
      </c>
      <c r="L516" s="2">
        <v>0.61111111111111116</v>
      </c>
      <c r="M516" t="s">
        <v>32</v>
      </c>
      <c r="N516">
        <v>524.70000000000005</v>
      </c>
      <c r="O516">
        <v>4.7619047620000003</v>
      </c>
      <c r="P516">
        <v>26.234999999999999</v>
      </c>
      <c r="Q516">
        <v>8.8000000000000007</v>
      </c>
      <c r="R516" s="3">
        <f t="shared" si="25"/>
        <v>43513.611111111109</v>
      </c>
      <c r="S516" t="str">
        <f t="shared" si="24"/>
        <v/>
      </c>
      <c r="T516" t="str">
        <f t="shared" si="26"/>
        <v/>
      </c>
    </row>
    <row r="517" spans="1:20">
      <c r="A517" t="s">
        <v>792</v>
      </c>
      <c r="B517" t="s">
        <v>41</v>
      </c>
      <c r="C517" t="s">
        <v>42</v>
      </c>
      <c r="D517" t="s">
        <v>20</v>
      </c>
      <c r="E517" t="s">
        <v>21</v>
      </c>
      <c r="F517" t="s">
        <v>28</v>
      </c>
      <c r="G517">
        <v>35.74</v>
      </c>
      <c r="H517">
        <v>8</v>
      </c>
      <c r="I517">
        <v>14.295999999999999</v>
      </c>
      <c r="J517">
        <v>300.21600000000001</v>
      </c>
      <c r="K517" s="1">
        <v>43513</v>
      </c>
      <c r="L517" s="2">
        <v>0.64444444444444449</v>
      </c>
      <c r="M517" t="s">
        <v>23</v>
      </c>
      <c r="N517">
        <v>285.92</v>
      </c>
      <c r="O517">
        <v>4.7619047620000003</v>
      </c>
      <c r="P517">
        <v>14.295999999999999</v>
      </c>
      <c r="Q517">
        <v>4.9000000000000004</v>
      </c>
      <c r="R517" s="3">
        <f t="shared" si="25"/>
        <v>43513.644444444442</v>
      </c>
      <c r="S517">
        <f t="shared" si="24"/>
        <v>47.999999999301508</v>
      </c>
      <c r="T517">
        <f t="shared" si="26"/>
        <v>48</v>
      </c>
    </row>
    <row r="518" spans="1:20" hidden="1">
      <c r="A518" t="s">
        <v>1022</v>
      </c>
      <c r="B518" t="s">
        <v>41</v>
      </c>
      <c r="C518" t="s">
        <v>42</v>
      </c>
      <c r="D518" t="s">
        <v>27</v>
      </c>
      <c r="E518" t="s">
        <v>21</v>
      </c>
      <c r="F518" t="s">
        <v>22</v>
      </c>
      <c r="G518">
        <v>14.76</v>
      </c>
      <c r="H518">
        <v>2</v>
      </c>
      <c r="I518">
        <v>1.476</v>
      </c>
      <c r="J518">
        <v>30.995999999999999</v>
      </c>
      <c r="K518" s="1">
        <v>43514</v>
      </c>
      <c r="L518" s="2">
        <v>0.61250000000000004</v>
      </c>
      <c r="M518" t="s">
        <v>23</v>
      </c>
      <c r="N518">
        <v>29.52</v>
      </c>
      <c r="O518">
        <v>4.7619047620000003</v>
      </c>
      <c r="P518">
        <v>1.476</v>
      </c>
      <c r="Q518">
        <v>4.3</v>
      </c>
      <c r="R518" s="3">
        <f t="shared" si="25"/>
        <v>43514.612500000003</v>
      </c>
      <c r="S518" t="str">
        <f t="shared" si="24"/>
        <v/>
      </c>
      <c r="T518" t="str">
        <f t="shared" si="26"/>
        <v/>
      </c>
    </row>
    <row r="519" spans="1:20" hidden="1">
      <c r="A519" t="s">
        <v>712</v>
      </c>
      <c r="B519" t="s">
        <v>41</v>
      </c>
      <c r="C519" t="s">
        <v>42</v>
      </c>
      <c r="D519" t="s">
        <v>20</v>
      </c>
      <c r="E519" t="s">
        <v>21</v>
      </c>
      <c r="F519" t="s">
        <v>35</v>
      </c>
      <c r="G519">
        <v>64.08</v>
      </c>
      <c r="H519">
        <v>7</v>
      </c>
      <c r="I519">
        <v>22.428000000000001</v>
      </c>
      <c r="J519">
        <v>470.988</v>
      </c>
      <c r="K519" s="1">
        <v>43515</v>
      </c>
      <c r="L519" s="2">
        <v>0.81180555555555556</v>
      </c>
      <c r="M519" t="s">
        <v>32</v>
      </c>
      <c r="N519">
        <v>448.56</v>
      </c>
      <c r="O519">
        <v>4.7619047620000003</v>
      </c>
      <c r="P519">
        <v>22.428000000000001</v>
      </c>
      <c r="Q519">
        <v>7.3</v>
      </c>
      <c r="R519" s="3">
        <f t="shared" si="25"/>
        <v>43515.811805555553</v>
      </c>
      <c r="S519" t="str">
        <f t="shared" si="24"/>
        <v/>
      </c>
      <c r="T519" t="str">
        <f t="shared" si="26"/>
        <v/>
      </c>
    </row>
    <row r="520" spans="1:20" hidden="1">
      <c r="A520" t="s">
        <v>702</v>
      </c>
      <c r="B520" t="s">
        <v>41</v>
      </c>
      <c r="C520" t="s">
        <v>42</v>
      </c>
      <c r="D520" t="s">
        <v>20</v>
      </c>
      <c r="E520" t="s">
        <v>177</v>
      </c>
      <c r="F520" t="s">
        <v>43</v>
      </c>
      <c r="G520">
        <v>57.74</v>
      </c>
      <c r="H520">
        <v>3</v>
      </c>
      <c r="I520">
        <v>8.6609999999999996</v>
      </c>
      <c r="J520">
        <v>181.881</v>
      </c>
      <c r="K520" s="1">
        <v>43516</v>
      </c>
      <c r="L520" s="2">
        <v>0.54583333333333328</v>
      </c>
      <c r="M520" t="s">
        <v>23</v>
      </c>
      <c r="N520">
        <v>173.22</v>
      </c>
      <c r="O520">
        <v>4.7619047620000003</v>
      </c>
      <c r="P520">
        <v>8.6609999999999996</v>
      </c>
      <c r="Q520">
        <v>7.7</v>
      </c>
      <c r="R520" s="3">
        <f t="shared" si="25"/>
        <v>43516.54583333333</v>
      </c>
      <c r="S520" t="str">
        <f t="shared" si="24"/>
        <v/>
      </c>
      <c r="T520" t="str">
        <f t="shared" si="26"/>
        <v/>
      </c>
    </row>
    <row r="521" spans="1:20">
      <c r="A521" t="s">
        <v>40</v>
      </c>
      <c r="B521" t="s">
        <v>41</v>
      </c>
      <c r="C521" t="s">
        <v>42</v>
      </c>
      <c r="D521" t="s">
        <v>20</v>
      </c>
      <c r="E521" t="s">
        <v>21</v>
      </c>
      <c r="F521" t="s">
        <v>43</v>
      </c>
      <c r="G521">
        <v>54.84</v>
      </c>
      <c r="H521">
        <v>3</v>
      </c>
      <c r="I521">
        <v>8.2260000000000009</v>
      </c>
      <c r="J521">
        <v>172.74600000000001</v>
      </c>
      <c r="K521" s="1">
        <v>43516</v>
      </c>
      <c r="L521" s="2">
        <v>0.56041666666666667</v>
      </c>
      <c r="M521" t="s">
        <v>32</v>
      </c>
      <c r="N521">
        <v>164.52</v>
      </c>
      <c r="O521">
        <v>4.7619047620000003</v>
      </c>
      <c r="P521">
        <v>8.2260000000000009</v>
      </c>
      <c r="Q521">
        <v>5.9</v>
      </c>
      <c r="R521" s="3">
        <f t="shared" si="25"/>
        <v>43516.560416666667</v>
      </c>
      <c r="S521">
        <f t="shared" si="24"/>
        <v>21.000000005587935</v>
      </c>
      <c r="T521">
        <f t="shared" si="26"/>
        <v>21</v>
      </c>
    </row>
    <row r="522" spans="1:20">
      <c r="A522" t="s">
        <v>918</v>
      </c>
      <c r="B522" t="s">
        <v>41</v>
      </c>
      <c r="C522" t="s">
        <v>42</v>
      </c>
      <c r="D522" t="s">
        <v>20</v>
      </c>
      <c r="E522" t="s">
        <v>177</v>
      </c>
      <c r="F522" t="s">
        <v>35</v>
      </c>
      <c r="G522">
        <v>31.99</v>
      </c>
      <c r="H522">
        <v>10</v>
      </c>
      <c r="I522">
        <v>15.994999999999999</v>
      </c>
      <c r="J522">
        <v>335.89499999999998</v>
      </c>
      <c r="K522" s="1">
        <v>43516</v>
      </c>
      <c r="L522" s="2">
        <v>0.63749999999999996</v>
      </c>
      <c r="M522" t="s">
        <v>32</v>
      </c>
      <c r="N522">
        <v>319.89999999999998</v>
      </c>
      <c r="O522">
        <v>4.7619047620000003</v>
      </c>
      <c r="P522">
        <v>15.994999999999999</v>
      </c>
      <c r="Q522">
        <v>9.9</v>
      </c>
      <c r="R522" s="3">
        <f t="shared" si="25"/>
        <v>43516.637499999997</v>
      </c>
      <c r="S522">
        <f t="shared" si="24"/>
        <v>110.99999999511056</v>
      </c>
      <c r="T522">
        <f t="shared" si="26"/>
        <v>111</v>
      </c>
    </row>
    <row r="523" spans="1:20">
      <c r="A523" t="s">
        <v>200</v>
      </c>
      <c r="B523" t="s">
        <v>41</v>
      </c>
      <c r="C523" t="s">
        <v>42</v>
      </c>
      <c r="D523" t="s">
        <v>27</v>
      </c>
      <c r="E523" t="s">
        <v>177</v>
      </c>
      <c r="F523" t="s">
        <v>43</v>
      </c>
      <c r="G523">
        <v>39.9</v>
      </c>
      <c r="H523">
        <v>10</v>
      </c>
      <c r="I523">
        <v>19.95</v>
      </c>
      <c r="J523">
        <v>418.95</v>
      </c>
      <c r="K523" s="1">
        <v>43516</v>
      </c>
      <c r="L523" s="2">
        <v>0.64166666666666672</v>
      </c>
      <c r="M523" t="s">
        <v>32</v>
      </c>
      <c r="N523">
        <v>399</v>
      </c>
      <c r="O523">
        <v>4.7619047620000003</v>
      </c>
      <c r="P523">
        <v>19.95</v>
      </c>
      <c r="Q523">
        <v>5.9</v>
      </c>
      <c r="R523" s="3">
        <f t="shared" si="25"/>
        <v>43516.64166666667</v>
      </c>
      <c r="S523">
        <f t="shared" si="24"/>
        <v>6.0000000090803951</v>
      </c>
      <c r="T523">
        <f t="shared" si="26"/>
        <v>6</v>
      </c>
    </row>
    <row r="524" spans="1:20">
      <c r="A524" t="s">
        <v>321</v>
      </c>
      <c r="B524" t="s">
        <v>41</v>
      </c>
      <c r="C524" t="s">
        <v>42</v>
      </c>
      <c r="D524" t="s">
        <v>27</v>
      </c>
      <c r="E524" t="s">
        <v>177</v>
      </c>
      <c r="F524" t="s">
        <v>22</v>
      </c>
      <c r="G524">
        <v>66.680000000000007</v>
      </c>
      <c r="H524">
        <v>5</v>
      </c>
      <c r="I524">
        <v>16.670000000000002</v>
      </c>
      <c r="J524">
        <v>350.07</v>
      </c>
      <c r="K524" s="1">
        <v>43516</v>
      </c>
      <c r="L524" s="2">
        <v>0.75069444444444444</v>
      </c>
      <c r="M524" t="s">
        <v>29</v>
      </c>
      <c r="N524">
        <v>333.4</v>
      </c>
      <c r="O524">
        <v>4.7619047620000003</v>
      </c>
      <c r="P524">
        <v>16.670000000000002</v>
      </c>
      <c r="Q524">
        <v>7.6</v>
      </c>
      <c r="R524" s="3">
        <f t="shared" si="25"/>
        <v>43516.750694444447</v>
      </c>
      <c r="S524">
        <f t="shared" si="24"/>
        <v>156.99999999837019</v>
      </c>
      <c r="T524">
        <f t="shared" si="26"/>
        <v>157</v>
      </c>
    </row>
    <row r="525" spans="1:20">
      <c r="A525" t="s">
        <v>612</v>
      </c>
      <c r="B525" t="s">
        <v>41</v>
      </c>
      <c r="C525" t="s">
        <v>42</v>
      </c>
      <c r="D525" t="s">
        <v>27</v>
      </c>
      <c r="E525" t="s">
        <v>177</v>
      </c>
      <c r="F525" t="s">
        <v>43</v>
      </c>
      <c r="G525">
        <v>60.3</v>
      </c>
      <c r="H525">
        <v>4</v>
      </c>
      <c r="I525">
        <v>12.06</v>
      </c>
      <c r="J525">
        <v>253.26</v>
      </c>
      <c r="K525" s="1">
        <v>43516</v>
      </c>
      <c r="L525" s="2">
        <v>0.77986111111111112</v>
      </c>
      <c r="M525" t="s">
        <v>29</v>
      </c>
      <c r="N525">
        <v>241.2</v>
      </c>
      <c r="O525">
        <v>4.7619047620000003</v>
      </c>
      <c r="P525">
        <v>12.06</v>
      </c>
      <c r="Q525">
        <v>5.8</v>
      </c>
      <c r="R525" s="3">
        <f t="shared" si="25"/>
        <v>43516.779861111114</v>
      </c>
      <c r="S525">
        <f t="shared" si="24"/>
        <v>42.000000000698492</v>
      </c>
      <c r="T525">
        <f t="shared" si="26"/>
        <v>42</v>
      </c>
    </row>
    <row r="526" spans="1:20" hidden="1">
      <c r="A526" t="s">
        <v>986</v>
      </c>
      <c r="B526" t="s">
        <v>41</v>
      </c>
      <c r="C526" t="s">
        <v>42</v>
      </c>
      <c r="D526" t="s">
        <v>20</v>
      </c>
      <c r="E526" t="s">
        <v>177</v>
      </c>
      <c r="F526" t="s">
        <v>22</v>
      </c>
      <c r="G526">
        <v>39.909999999999997</v>
      </c>
      <c r="H526">
        <v>3</v>
      </c>
      <c r="I526">
        <v>5.9865000000000004</v>
      </c>
      <c r="J526">
        <v>125.7165</v>
      </c>
      <c r="K526" s="1">
        <v>43517</v>
      </c>
      <c r="L526" s="2">
        <v>0.52777777777777779</v>
      </c>
      <c r="M526" t="s">
        <v>23</v>
      </c>
      <c r="N526">
        <v>119.73</v>
      </c>
      <c r="O526">
        <v>4.7619047620000003</v>
      </c>
      <c r="P526">
        <v>5.9865000000000004</v>
      </c>
      <c r="Q526">
        <v>9.3000000000000007</v>
      </c>
      <c r="R526" s="3">
        <f t="shared" si="25"/>
        <v>43517.527777777781</v>
      </c>
      <c r="S526" t="str">
        <f t="shared" si="24"/>
        <v/>
      </c>
      <c r="T526" t="str">
        <f t="shared" si="26"/>
        <v/>
      </c>
    </row>
    <row r="527" spans="1:20">
      <c r="A527" t="s">
        <v>269</v>
      </c>
      <c r="B527" t="s">
        <v>41</v>
      </c>
      <c r="C527" t="s">
        <v>42</v>
      </c>
      <c r="D527" t="s">
        <v>20</v>
      </c>
      <c r="E527" t="s">
        <v>177</v>
      </c>
      <c r="F527" t="s">
        <v>45</v>
      </c>
      <c r="G527">
        <v>73.819999999999993</v>
      </c>
      <c r="H527">
        <v>4</v>
      </c>
      <c r="I527">
        <v>14.763999999999999</v>
      </c>
      <c r="J527">
        <v>310.04399999999998</v>
      </c>
      <c r="K527" s="1">
        <v>43517</v>
      </c>
      <c r="L527" s="2">
        <v>0.77152777777777781</v>
      </c>
      <c r="M527" t="s">
        <v>29</v>
      </c>
      <c r="N527">
        <v>295.27999999999997</v>
      </c>
      <c r="O527">
        <v>4.7619047620000003</v>
      </c>
      <c r="P527">
        <v>14.763999999999999</v>
      </c>
      <c r="Q527">
        <v>6.7</v>
      </c>
      <c r="R527" s="3">
        <f t="shared" si="25"/>
        <v>43517.771527777775</v>
      </c>
      <c r="S527">
        <f t="shared" si="24"/>
        <v>350.9999999916181</v>
      </c>
      <c r="T527">
        <f t="shared" si="26"/>
        <v>351</v>
      </c>
    </row>
    <row r="528" spans="1:20" hidden="1">
      <c r="A528" t="s">
        <v>439</v>
      </c>
      <c r="B528" t="s">
        <v>41</v>
      </c>
      <c r="C528" t="s">
        <v>42</v>
      </c>
      <c r="D528" t="s">
        <v>27</v>
      </c>
      <c r="E528" t="s">
        <v>21</v>
      </c>
      <c r="F528" t="s">
        <v>45</v>
      </c>
      <c r="G528">
        <v>39.75</v>
      </c>
      <c r="H528">
        <v>5</v>
      </c>
      <c r="I528">
        <v>9.9375</v>
      </c>
      <c r="J528">
        <v>208.6875</v>
      </c>
      <c r="K528" s="1">
        <v>43518</v>
      </c>
      <c r="L528" s="2">
        <v>0.4465277777777778</v>
      </c>
      <c r="M528" t="s">
        <v>23</v>
      </c>
      <c r="N528">
        <v>198.75</v>
      </c>
      <c r="O528">
        <v>4.7619047620000003</v>
      </c>
      <c r="P528">
        <v>9.9375</v>
      </c>
      <c r="Q528">
        <v>9.6</v>
      </c>
      <c r="R528" s="3">
        <f t="shared" si="25"/>
        <v>43518.446527777778</v>
      </c>
      <c r="S528" t="str">
        <f t="shared" si="24"/>
        <v/>
      </c>
      <c r="T528" t="str">
        <f t="shared" si="26"/>
        <v/>
      </c>
    </row>
    <row r="529" spans="1:20">
      <c r="A529" t="s">
        <v>587</v>
      </c>
      <c r="B529" t="s">
        <v>41</v>
      </c>
      <c r="C529" t="s">
        <v>42</v>
      </c>
      <c r="D529" t="s">
        <v>27</v>
      </c>
      <c r="E529" t="s">
        <v>21</v>
      </c>
      <c r="F529" t="s">
        <v>45</v>
      </c>
      <c r="G529">
        <v>54.31</v>
      </c>
      <c r="H529">
        <v>9</v>
      </c>
      <c r="I529">
        <v>24.439499999999999</v>
      </c>
      <c r="J529">
        <v>513.22950000000003</v>
      </c>
      <c r="K529" s="1">
        <v>43518</v>
      </c>
      <c r="L529" s="2">
        <v>0.45069444444444445</v>
      </c>
      <c r="M529" t="s">
        <v>29</v>
      </c>
      <c r="N529">
        <v>488.79</v>
      </c>
      <c r="O529">
        <v>4.7619047620000003</v>
      </c>
      <c r="P529">
        <v>24.439499999999999</v>
      </c>
      <c r="Q529">
        <v>8.9</v>
      </c>
      <c r="R529" s="3">
        <f t="shared" si="25"/>
        <v>43518.450694444444</v>
      </c>
      <c r="S529">
        <f t="shared" ref="S529:S592" si="27">IF(K529=K528, (R529-R528)*1440, "")</f>
        <v>5.9999999986030161</v>
      </c>
      <c r="T529">
        <f t="shared" si="26"/>
        <v>6</v>
      </c>
    </row>
    <row r="530" spans="1:20">
      <c r="A530" t="s">
        <v>954</v>
      </c>
      <c r="B530" t="s">
        <v>41</v>
      </c>
      <c r="C530" t="s">
        <v>42</v>
      </c>
      <c r="D530" t="s">
        <v>27</v>
      </c>
      <c r="E530" t="s">
        <v>177</v>
      </c>
      <c r="F530" t="s">
        <v>31</v>
      </c>
      <c r="G530">
        <v>68.97</v>
      </c>
      <c r="H530">
        <v>3</v>
      </c>
      <c r="I530">
        <v>10.345499999999999</v>
      </c>
      <c r="J530">
        <v>217.25550000000001</v>
      </c>
      <c r="K530" s="1">
        <v>43518</v>
      </c>
      <c r="L530" s="2">
        <v>0.47638888888888886</v>
      </c>
      <c r="M530" t="s">
        <v>23</v>
      </c>
      <c r="N530">
        <v>206.91</v>
      </c>
      <c r="O530">
        <v>4.7619047620000003</v>
      </c>
      <c r="P530">
        <v>10.345499999999999</v>
      </c>
      <c r="Q530">
        <v>8.6999999999999993</v>
      </c>
      <c r="R530" s="3">
        <f t="shared" si="25"/>
        <v>43518.476388888892</v>
      </c>
      <c r="S530">
        <f t="shared" si="27"/>
        <v>37.000000005355105</v>
      </c>
      <c r="T530">
        <f t="shared" si="26"/>
        <v>37</v>
      </c>
    </row>
    <row r="531" spans="1:20">
      <c r="A531" t="s">
        <v>470</v>
      </c>
      <c r="B531" t="s">
        <v>41</v>
      </c>
      <c r="C531" t="s">
        <v>42</v>
      </c>
      <c r="D531" t="s">
        <v>27</v>
      </c>
      <c r="E531" t="s">
        <v>21</v>
      </c>
      <c r="F531" t="s">
        <v>45</v>
      </c>
      <c r="G531">
        <v>47.44</v>
      </c>
      <c r="H531">
        <v>1</v>
      </c>
      <c r="I531">
        <v>2.3719999999999999</v>
      </c>
      <c r="J531">
        <v>49.811999999999998</v>
      </c>
      <c r="K531" s="1">
        <v>43518</v>
      </c>
      <c r="L531" s="2">
        <v>0.7631944444444444</v>
      </c>
      <c r="M531" t="s">
        <v>32</v>
      </c>
      <c r="N531">
        <v>47.44</v>
      </c>
      <c r="O531">
        <v>4.7619047620000003</v>
      </c>
      <c r="P531">
        <v>2.3719999999999999</v>
      </c>
      <c r="Q531">
        <v>6.8</v>
      </c>
      <c r="R531" s="3">
        <f t="shared" si="25"/>
        <v>43518.763194444444</v>
      </c>
      <c r="S531">
        <f t="shared" si="27"/>
        <v>412.9999999946449</v>
      </c>
      <c r="T531">
        <f t="shared" si="26"/>
        <v>413</v>
      </c>
    </row>
    <row r="532" spans="1:20">
      <c r="A532" t="s">
        <v>1029</v>
      </c>
      <c r="B532" t="s">
        <v>41</v>
      </c>
      <c r="C532" t="s">
        <v>42</v>
      </c>
      <c r="D532" t="s">
        <v>27</v>
      </c>
      <c r="E532" t="s">
        <v>177</v>
      </c>
      <c r="F532" t="s">
        <v>45</v>
      </c>
      <c r="G532">
        <v>17.489999999999998</v>
      </c>
      <c r="H532">
        <v>10</v>
      </c>
      <c r="I532">
        <v>8.7449999999999992</v>
      </c>
      <c r="J532">
        <v>183.64500000000001</v>
      </c>
      <c r="K532" s="1">
        <v>43518</v>
      </c>
      <c r="L532" s="2">
        <v>0.77430555555555558</v>
      </c>
      <c r="M532" t="s">
        <v>23</v>
      </c>
      <c r="N532">
        <v>174.9</v>
      </c>
      <c r="O532">
        <v>4.7619047620000003</v>
      </c>
      <c r="P532">
        <v>8.7449999999999992</v>
      </c>
      <c r="Q532">
        <v>6.6</v>
      </c>
      <c r="R532" s="3">
        <f t="shared" si="25"/>
        <v>43518.774305555555</v>
      </c>
      <c r="S532">
        <f t="shared" si="27"/>
        <v>15.999999999767169</v>
      </c>
      <c r="T532">
        <f t="shared" si="26"/>
        <v>16</v>
      </c>
    </row>
    <row r="533" spans="1:20" hidden="1">
      <c r="A533" t="s">
        <v>840</v>
      </c>
      <c r="B533" t="s">
        <v>41</v>
      </c>
      <c r="C533" t="s">
        <v>42</v>
      </c>
      <c r="D533" t="s">
        <v>20</v>
      </c>
      <c r="E533" t="s">
        <v>21</v>
      </c>
      <c r="F533" t="s">
        <v>28</v>
      </c>
      <c r="G533">
        <v>75.59</v>
      </c>
      <c r="H533">
        <v>9</v>
      </c>
      <c r="I533">
        <v>34.015500000000003</v>
      </c>
      <c r="J533">
        <v>714.32550000000003</v>
      </c>
      <c r="K533" s="1">
        <v>43519</v>
      </c>
      <c r="L533" s="2">
        <v>0.46666666666666667</v>
      </c>
      <c r="M533" t="s">
        <v>29</v>
      </c>
      <c r="N533">
        <v>680.31</v>
      </c>
      <c r="O533">
        <v>4.7619047620000003</v>
      </c>
      <c r="P533">
        <v>34.015500000000003</v>
      </c>
      <c r="Q533">
        <v>8</v>
      </c>
      <c r="R533" s="3">
        <f t="shared" si="25"/>
        <v>43519.466666666667</v>
      </c>
      <c r="S533" t="str">
        <f t="shared" si="27"/>
        <v/>
      </c>
      <c r="T533" t="str">
        <f t="shared" si="26"/>
        <v/>
      </c>
    </row>
    <row r="534" spans="1:20">
      <c r="A534" t="s">
        <v>340</v>
      </c>
      <c r="B534" t="s">
        <v>41</v>
      </c>
      <c r="C534" t="s">
        <v>42</v>
      </c>
      <c r="D534" t="s">
        <v>27</v>
      </c>
      <c r="E534" t="s">
        <v>21</v>
      </c>
      <c r="F534" t="s">
        <v>28</v>
      </c>
      <c r="G534">
        <v>14.96</v>
      </c>
      <c r="H534">
        <v>8</v>
      </c>
      <c r="I534">
        <v>5.984</v>
      </c>
      <c r="J534">
        <v>125.664</v>
      </c>
      <c r="K534" s="1">
        <v>43519</v>
      </c>
      <c r="L534" s="2">
        <v>0.52013888888888893</v>
      </c>
      <c r="M534" t="s">
        <v>29</v>
      </c>
      <c r="N534">
        <v>119.68</v>
      </c>
      <c r="O534">
        <v>4.7619047620000003</v>
      </c>
      <c r="P534">
        <v>5.984</v>
      </c>
      <c r="Q534">
        <v>8.6</v>
      </c>
      <c r="R534" s="3">
        <f t="shared" si="25"/>
        <v>43519.520138888889</v>
      </c>
      <c r="S534">
        <f t="shared" si="27"/>
        <v>76.999999999534339</v>
      </c>
      <c r="T534">
        <f t="shared" si="26"/>
        <v>77</v>
      </c>
    </row>
    <row r="535" spans="1:20">
      <c r="A535" t="s">
        <v>676</v>
      </c>
      <c r="B535" t="s">
        <v>41</v>
      </c>
      <c r="C535" t="s">
        <v>42</v>
      </c>
      <c r="D535" t="s">
        <v>20</v>
      </c>
      <c r="E535" t="s">
        <v>21</v>
      </c>
      <c r="F535" t="s">
        <v>43</v>
      </c>
      <c r="G535">
        <v>98.79</v>
      </c>
      <c r="H535">
        <v>3</v>
      </c>
      <c r="I535">
        <v>14.8185</v>
      </c>
      <c r="J535">
        <v>311.18849999999998</v>
      </c>
      <c r="K535" s="1">
        <v>43519</v>
      </c>
      <c r="L535" s="2">
        <v>0.83333333333333337</v>
      </c>
      <c r="M535" t="s">
        <v>23</v>
      </c>
      <c r="N535">
        <v>296.37</v>
      </c>
      <c r="O535">
        <v>4.7619047620000003</v>
      </c>
      <c r="P535">
        <v>14.8185</v>
      </c>
      <c r="Q535">
        <v>6.4</v>
      </c>
      <c r="R535" s="3">
        <f t="shared" si="25"/>
        <v>43519.833333333336</v>
      </c>
      <c r="S535">
        <f t="shared" si="27"/>
        <v>451.00000000325963</v>
      </c>
      <c r="T535">
        <f t="shared" si="26"/>
        <v>451</v>
      </c>
    </row>
    <row r="536" spans="1:20">
      <c r="A536" t="s">
        <v>703</v>
      </c>
      <c r="B536" t="s">
        <v>41</v>
      </c>
      <c r="C536" t="s">
        <v>42</v>
      </c>
      <c r="D536" t="s">
        <v>27</v>
      </c>
      <c r="E536" t="s">
        <v>21</v>
      </c>
      <c r="F536" t="s">
        <v>22</v>
      </c>
      <c r="G536">
        <v>17.97</v>
      </c>
      <c r="H536">
        <v>4</v>
      </c>
      <c r="I536">
        <v>3.5939999999999999</v>
      </c>
      <c r="J536">
        <v>75.474000000000004</v>
      </c>
      <c r="K536" s="1">
        <v>43519</v>
      </c>
      <c r="L536" s="2">
        <v>0.86319444444444449</v>
      </c>
      <c r="M536" t="s">
        <v>23</v>
      </c>
      <c r="N536">
        <v>71.88</v>
      </c>
      <c r="O536">
        <v>4.7619047620000003</v>
      </c>
      <c r="P536">
        <v>3.5939999999999999</v>
      </c>
      <c r="Q536">
        <v>6.4</v>
      </c>
      <c r="R536" s="3">
        <f t="shared" si="25"/>
        <v>43519.863194444442</v>
      </c>
      <c r="S536">
        <f t="shared" si="27"/>
        <v>42.999999993480742</v>
      </c>
      <c r="T536">
        <f t="shared" si="26"/>
        <v>43</v>
      </c>
    </row>
    <row r="537" spans="1:20" hidden="1">
      <c r="A537" t="s">
        <v>373</v>
      </c>
      <c r="B537" t="s">
        <v>41</v>
      </c>
      <c r="C537" t="s">
        <v>42</v>
      </c>
      <c r="D537" t="s">
        <v>27</v>
      </c>
      <c r="E537" t="s">
        <v>21</v>
      </c>
      <c r="F537" t="s">
        <v>35</v>
      </c>
      <c r="G537">
        <v>57.95</v>
      </c>
      <c r="H537">
        <v>6</v>
      </c>
      <c r="I537">
        <v>17.385000000000002</v>
      </c>
      <c r="J537">
        <v>365.08499999999998</v>
      </c>
      <c r="K537" s="1">
        <v>43520</v>
      </c>
      <c r="L537" s="2">
        <v>0.54305555555555551</v>
      </c>
      <c r="M537" t="s">
        <v>29</v>
      </c>
      <c r="N537">
        <v>347.7</v>
      </c>
      <c r="O537">
        <v>4.7619047620000003</v>
      </c>
      <c r="P537">
        <v>17.385000000000002</v>
      </c>
      <c r="Q537">
        <v>5.2</v>
      </c>
      <c r="R537" s="3">
        <f t="shared" si="25"/>
        <v>43520.543055555558</v>
      </c>
      <c r="S537" t="str">
        <f t="shared" si="27"/>
        <v/>
      </c>
      <c r="T537" t="str">
        <f t="shared" si="26"/>
        <v/>
      </c>
    </row>
    <row r="538" spans="1:20">
      <c r="A538" t="s">
        <v>985</v>
      </c>
      <c r="B538" t="s">
        <v>41</v>
      </c>
      <c r="C538" t="s">
        <v>42</v>
      </c>
      <c r="D538" t="s">
        <v>27</v>
      </c>
      <c r="E538" t="s">
        <v>21</v>
      </c>
      <c r="F538" t="s">
        <v>43</v>
      </c>
      <c r="G538">
        <v>26.43</v>
      </c>
      <c r="H538">
        <v>8</v>
      </c>
      <c r="I538">
        <v>10.571999999999999</v>
      </c>
      <c r="J538">
        <v>222.012</v>
      </c>
      <c r="K538" s="1">
        <v>43520</v>
      </c>
      <c r="L538" s="2">
        <v>0.60138888888888886</v>
      </c>
      <c r="M538" t="s">
        <v>23</v>
      </c>
      <c r="N538">
        <v>211.44</v>
      </c>
      <c r="O538">
        <v>4.7619047620000003</v>
      </c>
      <c r="P538">
        <v>10.571999999999999</v>
      </c>
      <c r="Q538">
        <v>8.9</v>
      </c>
      <c r="R538" s="3">
        <f t="shared" si="25"/>
        <v>43520.601388888892</v>
      </c>
      <c r="S538">
        <f t="shared" si="27"/>
        <v>84.000000001396984</v>
      </c>
      <c r="T538">
        <f t="shared" si="26"/>
        <v>84</v>
      </c>
    </row>
    <row r="539" spans="1:20">
      <c r="A539" t="s">
        <v>711</v>
      </c>
      <c r="B539" t="s">
        <v>41</v>
      </c>
      <c r="C539" t="s">
        <v>42</v>
      </c>
      <c r="D539" t="s">
        <v>20</v>
      </c>
      <c r="E539" t="s">
        <v>177</v>
      </c>
      <c r="F539" t="s">
        <v>45</v>
      </c>
      <c r="G539">
        <v>83.77</v>
      </c>
      <c r="H539">
        <v>2</v>
      </c>
      <c r="I539">
        <v>8.3770000000000007</v>
      </c>
      <c r="J539">
        <v>175.917</v>
      </c>
      <c r="K539" s="1">
        <v>43520</v>
      </c>
      <c r="L539" s="2">
        <v>0.83125000000000004</v>
      </c>
      <c r="M539" t="s">
        <v>29</v>
      </c>
      <c r="N539">
        <v>167.54</v>
      </c>
      <c r="O539">
        <v>4.7619047620000003</v>
      </c>
      <c r="P539">
        <v>8.3770000000000007</v>
      </c>
      <c r="Q539">
        <v>4.5999999999999996</v>
      </c>
      <c r="R539" s="3">
        <f t="shared" si="25"/>
        <v>43520.831250000003</v>
      </c>
      <c r="S539">
        <f t="shared" si="27"/>
        <v>330.99999999976717</v>
      </c>
      <c r="T539">
        <f t="shared" si="26"/>
        <v>331</v>
      </c>
    </row>
    <row r="540" spans="1:20" hidden="1">
      <c r="A540" t="s">
        <v>889</v>
      </c>
      <c r="B540" t="s">
        <v>41</v>
      </c>
      <c r="C540" t="s">
        <v>42</v>
      </c>
      <c r="D540" t="s">
        <v>27</v>
      </c>
      <c r="E540" t="s">
        <v>21</v>
      </c>
      <c r="F540" t="s">
        <v>28</v>
      </c>
      <c r="G540">
        <v>52.79</v>
      </c>
      <c r="H540">
        <v>10</v>
      </c>
      <c r="I540">
        <v>26.395</v>
      </c>
      <c r="J540">
        <v>554.29499999999996</v>
      </c>
      <c r="K540" s="1">
        <v>43521</v>
      </c>
      <c r="L540" s="2">
        <v>0.49861111111111112</v>
      </c>
      <c r="M540" t="s">
        <v>23</v>
      </c>
      <c r="N540">
        <v>527.9</v>
      </c>
      <c r="O540">
        <v>4.7619047620000003</v>
      </c>
      <c r="P540">
        <v>26.395</v>
      </c>
      <c r="Q540">
        <v>10</v>
      </c>
      <c r="R540" s="3">
        <f t="shared" si="25"/>
        <v>43521.498611111114</v>
      </c>
      <c r="S540" t="str">
        <f t="shared" si="27"/>
        <v/>
      </c>
      <c r="T540" t="str">
        <f t="shared" si="26"/>
        <v/>
      </c>
    </row>
    <row r="541" spans="1:20">
      <c r="A541" t="s">
        <v>988</v>
      </c>
      <c r="B541" t="s">
        <v>41</v>
      </c>
      <c r="C541" t="s">
        <v>42</v>
      </c>
      <c r="D541" t="s">
        <v>20</v>
      </c>
      <c r="E541" t="s">
        <v>21</v>
      </c>
      <c r="F541" t="s">
        <v>43</v>
      </c>
      <c r="G541">
        <v>62.85</v>
      </c>
      <c r="H541">
        <v>4</v>
      </c>
      <c r="I541">
        <v>12.57</v>
      </c>
      <c r="J541">
        <v>263.97000000000003</v>
      </c>
      <c r="K541" s="1">
        <v>43521</v>
      </c>
      <c r="L541" s="2">
        <v>0.55694444444444446</v>
      </c>
      <c r="M541" t="s">
        <v>23</v>
      </c>
      <c r="N541">
        <v>251.4</v>
      </c>
      <c r="O541">
        <v>4.7619047620000003</v>
      </c>
      <c r="P541">
        <v>12.57</v>
      </c>
      <c r="Q541">
        <v>8.6999999999999993</v>
      </c>
      <c r="R541" s="3">
        <f t="shared" si="25"/>
        <v>43521.556944444441</v>
      </c>
      <c r="S541">
        <f t="shared" si="27"/>
        <v>83.999999990919605</v>
      </c>
      <c r="T541">
        <f t="shared" si="26"/>
        <v>84</v>
      </c>
    </row>
    <row r="542" spans="1:20">
      <c r="A542" t="s">
        <v>201</v>
      </c>
      <c r="B542" t="s">
        <v>41</v>
      </c>
      <c r="C542" t="s">
        <v>42</v>
      </c>
      <c r="D542" t="s">
        <v>20</v>
      </c>
      <c r="E542" t="s">
        <v>177</v>
      </c>
      <c r="F542" t="s">
        <v>22</v>
      </c>
      <c r="G542">
        <v>42.57</v>
      </c>
      <c r="H542">
        <v>8</v>
      </c>
      <c r="I542">
        <v>17.027999999999999</v>
      </c>
      <c r="J542">
        <v>357.58800000000002</v>
      </c>
      <c r="K542" s="1">
        <v>43521</v>
      </c>
      <c r="L542" s="2">
        <v>0.59166666666666667</v>
      </c>
      <c r="M542" t="s">
        <v>23</v>
      </c>
      <c r="N542">
        <v>340.56</v>
      </c>
      <c r="O542">
        <v>4.7619047620000003</v>
      </c>
      <c r="P542">
        <v>17.027999999999999</v>
      </c>
      <c r="Q542">
        <v>5.6</v>
      </c>
      <c r="R542" s="3">
        <f t="shared" si="25"/>
        <v>43521.591666666667</v>
      </c>
      <c r="S542">
        <f t="shared" si="27"/>
        <v>50.000000005820766</v>
      </c>
      <c r="T542">
        <f t="shared" si="26"/>
        <v>50</v>
      </c>
    </row>
    <row r="543" spans="1:20">
      <c r="A543" t="s">
        <v>540</v>
      </c>
      <c r="B543" t="s">
        <v>41</v>
      </c>
      <c r="C543" t="s">
        <v>42</v>
      </c>
      <c r="D543" t="s">
        <v>27</v>
      </c>
      <c r="E543" t="s">
        <v>177</v>
      </c>
      <c r="F543" t="s">
        <v>35</v>
      </c>
      <c r="G543">
        <v>88.45</v>
      </c>
      <c r="H543">
        <v>1</v>
      </c>
      <c r="I543">
        <v>4.4225000000000003</v>
      </c>
      <c r="J543">
        <v>92.872500000000002</v>
      </c>
      <c r="K543" s="1">
        <v>43521</v>
      </c>
      <c r="L543" s="2">
        <v>0.69166666666666665</v>
      </c>
      <c r="M543" t="s">
        <v>32</v>
      </c>
      <c r="N543">
        <v>88.45</v>
      </c>
      <c r="O543">
        <v>4.7619047620000003</v>
      </c>
      <c r="P543">
        <v>4.4225000000000003</v>
      </c>
      <c r="Q543">
        <v>9.5</v>
      </c>
      <c r="R543" s="3">
        <f t="shared" si="25"/>
        <v>43521.691666666666</v>
      </c>
      <c r="S543">
        <f t="shared" si="27"/>
        <v>143.99999999790452</v>
      </c>
      <c r="T543">
        <f t="shared" si="26"/>
        <v>144</v>
      </c>
    </row>
    <row r="544" spans="1:20">
      <c r="A544" t="s">
        <v>606</v>
      </c>
      <c r="B544" t="s">
        <v>41</v>
      </c>
      <c r="C544" t="s">
        <v>42</v>
      </c>
      <c r="D544" t="s">
        <v>20</v>
      </c>
      <c r="E544" t="s">
        <v>21</v>
      </c>
      <c r="F544" t="s">
        <v>31</v>
      </c>
      <c r="G544">
        <v>82.04</v>
      </c>
      <c r="H544">
        <v>5</v>
      </c>
      <c r="I544">
        <v>20.51</v>
      </c>
      <c r="J544">
        <v>430.71</v>
      </c>
      <c r="K544" s="1">
        <v>43521</v>
      </c>
      <c r="L544" s="2">
        <v>0.71944444444444444</v>
      </c>
      <c r="M544" t="s">
        <v>32</v>
      </c>
      <c r="N544">
        <v>410.2</v>
      </c>
      <c r="O544">
        <v>4.7619047620000003</v>
      </c>
      <c r="P544">
        <v>20.51</v>
      </c>
      <c r="Q544">
        <v>7.6</v>
      </c>
      <c r="R544" s="3">
        <f t="shared" si="25"/>
        <v>43521.719444444447</v>
      </c>
      <c r="S544">
        <f t="shared" si="27"/>
        <v>40.000000004656613</v>
      </c>
      <c r="T544">
        <f t="shared" si="26"/>
        <v>40</v>
      </c>
    </row>
    <row r="545" spans="1:20">
      <c r="A545" t="s">
        <v>867</v>
      </c>
      <c r="B545" t="s">
        <v>41</v>
      </c>
      <c r="C545" t="s">
        <v>42</v>
      </c>
      <c r="D545" t="s">
        <v>27</v>
      </c>
      <c r="E545" t="s">
        <v>177</v>
      </c>
      <c r="F545" t="s">
        <v>22</v>
      </c>
      <c r="G545">
        <v>62.57</v>
      </c>
      <c r="H545">
        <v>4</v>
      </c>
      <c r="I545">
        <v>12.513999999999999</v>
      </c>
      <c r="J545">
        <v>262.79399999999998</v>
      </c>
      <c r="K545" s="1">
        <v>43521</v>
      </c>
      <c r="L545" s="2">
        <v>0.77569444444444446</v>
      </c>
      <c r="M545" t="s">
        <v>29</v>
      </c>
      <c r="N545">
        <v>250.28</v>
      </c>
      <c r="O545">
        <v>4.7619047620000003</v>
      </c>
      <c r="P545">
        <v>12.513999999999999</v>
      </c>
      <c r="Q545">
        <v>9.5</v>
      </c>
      <c r="R545" s="3">
        <f t="shared" si="25"/>
        <v>43521.775694444441</v>
      </c>
      <c r="S545">
        <f t="shared" si="27"/>
        <v>80.999999991618097</v>
      </c>
      <c r="T545">
        <f t="shared" si="26"/>
        <v>81</v>
      </c>
    </row>
    <row r="546" spans="1:20">
      <c r="A546" t="s">
        <v>65</v>
      </c>
      <c r="B546" t="s">
        <v>41</v>
      </c>
      <c r="C546" t="s">
        <v>42</v>
      </c>
      <c r="D546" t="s">
        <v>20</v>
      </c>
      <c r="E546" t="s">
        <v>21</v>
      </c>
      <c r="F546" t="s">
        <v>45</v>
      </c>
      <c r="G546">
        <v>94.13</v>
      </c>
      <c r="H546">
        <v>5</v>
      </c>
      <c r="I546">
        <v>23.532499999999999</v>
      </c>
      <c r="J546">
        <v>494.1825</v>
      </c>
      <c r="K546" s="1">
        <v>43521</v>
      </c>
      <c r="L546" s="2">
        <v>0.81874999999999998</v>
      </c>
      <c r="M546" t="s">
        <v>32</v>
      </c>
      <c r="N546">
        <v>470.65</v>
      </c>
      <c r="O546">
        <v>4.7619047620000003</v>
      </c>
      <c r="P546">
        <v>23.532499999999999</v>
      </c>
      <c r="Q546">
        <v>4.8</v>
      </c>
      <c r="R546" s="3">
        <f t="shared" si="25"/>
        <v>43521.818749999999</v>
      </c>
      <c r="S546">
        <f t="shared" si="27"/>
        <v>62.000000003026798</v>
      </c>
      <c r="T546">
        <f t="shared" si="26"/>
        <v>62</v>
      </c>
    </row>
    <row r="547" spans="1:20">
      <c r="A547" t="s">
        <v>913</v>
      </c>
      <c r="B547" t="s">
        <v>41</v>
      </c>
      <c r="C547" t="s">
        <v>42</v>
      </c>
      <c r="D547" t="s">
        <v>20</v>
      </c>
      <c r="E547" t="s">
        <v>177</v>
      </c>
      <c r="F547" t="s">
        <v>28</v>
      </c>
      <c r="G547">
        <v>39.75</v>
      </c>
      <c r="H547">
        <v>1</v>
      </c>
      <c r="I547">
        <v>1.9875</v>
      </c>
      <c r="J547">
        <v>41.737499999999997</v>
      </c>
      <c r="K547" s="1">
        <v>43521</v>
      </c>
      <c r="L547" s="2">
        <v>0.84652777777777777</v>
      </c>
      <c r="M547" t="s">
        <v>29</v>
      </c>
      <c r="N547">
        <v>39.75</v>
      </c>
      <c r="O547">
        <v>4.7619047620000003</v>
      </c>
      <c r="P547">
        <v>1.9875</v>
      </c>
      <c r="Q547">
        <v>6.1</v>
      </c>
      <c r="R547" s="3">
        <f t="shared" si="25"/>
        <v>43521.84652777778</v>
      </c>
      <c r="S547">
        <f t="shared" si="27"/>
        <v>40.000000004656613</v>
      </c>
      <c r="T547">
        <f t="shared" si="26"/>
        <v>40</v>
      </c>
    </row>
    <row r="548" spans="1:20" hidden="1">
      <c r="A548" t="s">
        <v>264</v>
      </c>
      <c r="B548" t="s">
        <v>41</v>
      </c>
      <c r="C548" t="s">
        <v>42</v>
      </c>
      <c r="D548" t="s">
        <v>20</v>
      </c>
      <c r="E548" t="s">
        <v>21</v>
      </c>
      <c r="F548" t="s">
        <v>28</v>
      </c>
      <c r="G548">
        <v>90.7</v>
      </c>
      <c r="H548">
        <v>6</v>
      </c>
      <c r="I548">
        <v>27.21</v>
      </c>
      <c r="J548">
        <v>571.41</v>
      </c>
      <c r="K548" s="1">
        <v>43522</v>
      </c>
      <c r="L548" s="2">
        <v>0.45277777777777778</v>
      </c>
      <c r="M548" t="s">
        <v>29</v>
      </c>
      <c r="N548">
        <v>544.20000000000005</v>
      </c>
      <c r="O548">
        <v>4.7619047620000003</v>
      </c>
      <c r="P548">
        <v>27.21</v>
      </c>
      <c r="Q548">
        <v>5.3</v>
      </c>
      <c r="R548" s="3">
        <f t="shared" si="25"/>
        <v>43522.452777777777</v>
      </c>
      <c r="S548" t="str">
        <f t="shared" si="27"/>
        <v/>
      </c>
      <c r="T548" t="str">
        <f t="shared" si="26"/>
        <v/>
      </c>
    </row>
    <row r="549" spans="1:20">
      <c r="A549" t="s">
        <v>530</v>
      </c>
      <c r="B549" t="s">
        <v>41</v>
      </c>
      <c r="C549" t="s">
        <v>42</v>
      </c>
      <c r="D549" t="s">
        <v>27</v>
      </c>
      <c r="E549" t="s">
        <v>177</v>
      </c>
      <c r="F549" t="s">
        <v>45</v>
      </c>
      <c r="G549">
        <v>99.89</v>
      </c>
      <c r="H549">
        <v>2</v>
      </c>
      <c r="I549">
        <v>9.9890000000000008</v>
      </c>
      <c r="J549">
        <v>209.76900000000001</v>
      </c>
      <c r="K549" s="1">
        <v>43522</v>
      </c>
      <c r="L549" s="2">
        <v>0.49166666666666664</v>
      </c>
      <c r="M549" t="s">
        <v>23</v>
      </c>
      <c r="N549">
        <v>199.78</v>
      </c>
      <c r="O549">
        <v>4.7619047620000003</v>
      </c>
      <c r="P549">
        <v>9.9890000000000008</v>
      </c>
      <c r="Q549">
        <v>7.1</v>
      </c>
      <c r="R549" s="3">
        <f t="shared" si="25"/>
        <v>43522.491666666669</v>
      </c>
      <c r="S549">
        <f t="shared" si="27"/>
        <v>56.000000004423782</v>
      </c>
      <c r="T549">
        <f t="shared" si="26"/>
        <v>56</v>
      </c>
    </row>
    <row r="550" spans="1:20">
      <c r="A550" t="s">
        <v>806</v>
      </c>
      <c r="B550" t="s">
        <v>41</v>
      </c>
      <c r="C550" t="s">
        <v>42</v>
      </c>
      <c r="D550" t="s">
        <v>20</v>
      </c>
      <c r="E550" t="s">
        <v>21</v>
      </c>
      <c r="F550" t="s">
        <v>35</v>
      </c>
      <c r="G550">
        <v>95.54</v>
      </c>
      <c r="H550">
        <v>4</v>
      </c>
      <c r="I550">
        <v>19.108000000000001</v>
      </c>
      <c r="J550">
        <v>401.26799999999997</v>
      </c>
      <c r="K550" s="1">
        <v>43522</v>
      </c>
      <c r="L550" s="2">
        <v>0.49861111111111112</v>
      </c>
      <c r="M550" t="s">
        <v>23</v>
      </c>
      <c r="N550">
        <v>382.16</v>
      </c>
      <c r="O550">
        <v>4.7619047620000003</v>
      </c>
      <c r="P550">
        <v>19.108000000000001</v>
      </c>
      <c r="Q550">
        <v>4.5</v>
      </c>
      <c r="R550" s="3">
        <f t="shared" si="25"/>
        <v>43522.498611111114</v>
      </c>
      <c r="S550">
        <f t="shared" si="27"/>
        <v>10.000000001164153</v>
      </c>
      <c r="T550">
        <f t="shared" si="26"/>
        <v>10</v>
      </c>
    </row>
    <row r="551" spans="1:20">
      <c r="A551" t="s">
        <v>1013</v>
      </c>
      <c r="B551" t="s">
        <v>41</v>
      </c>
      <c r="C551" t="s">
        <v>42</v>
      </c>
      <c r="D551" t="s">
        <v>20</v>
      </c>
      <c r="E551" t="s">
        <v>177</v>
      </c>
      <c r="F551" t="s">
        <v>43</v>
      </c>
      <c r="G551">
        <v>26.6</v>
      </c>
      <c r="H551">
        <v>6</v>
      </c>
      <c r="I551">
        <v>7.98</v>
      </c>
      <c r="J551">
        <v>167.58</v>
      </c>
      <c r="K551" s="1">
        <v>43522</v>
      </c>
      <c r="L551" s="2">
        <v>0.63194444444444442</v>
      </c>
      <c r="M551" t="s">
        <v>23</v>
      </c>
      <c r="N551">
        <v>159.6</v>
      </c>
      <c r="O551">
        <v>4.7619047620000003</v>
      </c>
      <c r="P551">
        <v>7.98</v>
      </c>
      <c r="Q551">
        <v>4.9000000000000004</v>
      </c>
      <c r="R551" s="3">
        <f t="shared" si="25"/>
        <v>43522.631944444445</v>
      </c>
      <c r="S551">
        <f t="shared" si="27"/>
        <v>191.99999999720603</v>
      </c>
      <c r="T551">
        <f t="shared" si="26"/>
        <v>192</v>
      </c>
    </row>
    <row r="552" spans="1:20">
      <c r="A552" t="s">
        <v>310</v>
      </c>
      <c r="B552" t="s">
        <v>41</v>
      </c>
      <c r="C552" t="s">
        <v>42</v>
      </c>
      <c r="D552" t="s">
        <v>27</v>
      </c>
      <c r="E552" t="s">
        <v>21</v>
      </c>
      <c r="F552" t="s">
        <v>22</v>
      </c>
      <c r="G552">
        <v>99.71</v>
      </c>
      <c r="H552">
        <v>6</v>
      </c>
      <c r="I552">
        <v>29.913</v>
      </c>
      <c r="J552">
        <v>628.173</v>
      </c>
      <c r="K552" s="1">
        <v>43522</v>
      </c>
      <c r="L552" s="2">
        <v>0.70277777777777772</v>
      </c>
      <c r="M552" t="s">
        <v>23</v>
      </c>
      <c r="N552">
        <v>598.26</v>
      </c>
      <c r="O552">
        <v>4.7619047620000003</v>
      </c>
      <c r="P552">
        <v>29.913</v>
      </c>
      <c r="Q552">
        <v>7.9</v>
      </c>
      <c r="R552" s="3">
        <f t="shared" si="25"/>
        <v>43522.702777777777</v>
      </c>
      <c r="S552">
        <f t="shared" si="27"/>
        <v>101.99999999720603</v>
      </c>
      <c r="T552">
        <f t="shared" si="26"/>
        <v>102</v>
      </c>
    </row>
    <row r="553" spans="1:20">
      <c r="A553" t="s">
        <v>300</v>
      </c>
      <c r="B553" t="s">
        <v>41</v>
      </c>
      <c r="C553" t="s">
        <v>42</v>
      </c>
      <c r="D553" t="s">
        <v>27</v>
      </c>
      <c r="E553" t="s">
        <v>177</v>
      </c>
      <c r="F553" t="s">
        <v>35</v>
      </c>
      <c r="G553">
        <v>54.45</v>
      </c>
      <c r="H553">
        <v>1</v>
      </c>
      <c r="I553">
        <v>2.7225000000000001</v>
      </c>
      <c r="J553">
        <v>57.172499999999999</v>
      </c>
      <c r="K553" s="1">
        <v>43522</v>
      </c>
      <c r="L553" s="2">
        <v>0.80833333333333335</v>
      </c>
      <c r="M553" t="s">
        <v>23</v>
      </c>
      <c r="N553">
        <v>54.45</v>
      </c>
      <c r="O553">
        <v>4.7619047620000003</v>
      </c>
      <c r="P553">
        <v>2.7225000000000001</v>
      </c>
      <c r="Q553">
        <v>7.9</v>
      </c>
      <c r="R553" s="3">
        <f t="shared" si="25"/>
        <v>43522.808333333334</v>
      </c>
      <c r="S553">
        <f t="shared" si="27"/>
        <v>152.0000000030268</v>
      </c>
      <c r="T553">
        <f t="shared" si="26"/>
        <v>152</v>
      </c>
    </row>
    <row r="554" spans="1:20" hidden="1">
      <c r="A554" t="s">
        <v>385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13.5</v>
      </c>
      <c r="H554">
        <v>10</v>
      </c>
      <c r="I554">
        <v>6.75</v>
      </c>
      <c r="J554">
        <v>141.75</v>
      </c>
      <c r="K554" s="1">
        <v>43523</v>
      </c>
      <c r="L554" s="2">
        <v>0.46250000000000002</v>
      </c>
      <c r="M554" t="s">
        <v>32</v>
      </c>
      <c r="N554">
        <v>135</v>
      </c>
      <c r="O554">
        <v>4.7619047620000003</v>
      </c>
      <c r="P554">
        <v>6.75</v>
      </c>
      <c r="Q554">
        <v>4.8</v>
      </c>
      <c r="R554" s="3">
        <f t="shared" si="25"/>
        <v>43523.462500000001</v>
      </c>
      <c r="S554" t="str">
        <f t="shared" si="27"/>
        <v/>
      </c>
      <c r="T554" t="str">
        <f t="shared" si="26"/>
        <v/>
      </c>
    </row>
    <row r="555" spans="1:20">
      <c r="A555" t="s">
        <v>81</v>
      </c>
      <c r="B555" t="s">
        <v>41</v>
      </c>
      <c r="C555" t="s">
        <v>42</v>
      </c>
      <c r="D555" t="s">
        <v>20</v>
      </c>
      <c r="E555" t="s">
        <v>21</v>
      </c>
      <c r="F555" t="s">
        <v>22</v>
      </c>
      <c r="G555">
        <v>56.69</v>
      </c>
      <c r="H555">
        <v>9</v>
      </c>
      <c r="I555">
        <v>25.5105</v>
      </c>
      <c r="J555">
        <v>535.72050000000002</v>
      </c>
      <c r="K555" s="1">
        <v>43523</v>
      </c>
      <c r="L555" s="2">
        <v>0.72499999999999998</v>
      </c>
      <c r="M555" t="s">
        <v>32</v>
      </c>
      <c r="N555">
        <v>510.21</v>
      </c>
      <c r="O555">
        <v>4.7619047620000003</v>
      </c>
      <c r="P555">
        <v>25.5105</v>
      </c>
      <c r="Q555">
        <v>8.4</v>
      </c>
      <c r="R555" s="3">
        <f t="shared" si="25"/>
        <v>43523.724999999999</v>
      </c>
      <c r="S555">
        <f t="shared" si="27"/>
        <v>377.99999999580905</v>
      </c>
      <c r="T555">
        <f t="shared" si="26"/>
        <v>378</v>
      </c>
    </row>
    <row r="556" spans="1:20">
      <c r="A556" t="s">
        <v>464</v>
      </c>
      <c r="B556" t="s">
        <v>41</v>
      </c>
      <c r="C556" t="s">
        <v>42</v>
      </c>
      <c r="D556" t="s">
        <v>27</v>
      </c>
      <c r="E556" t="s">
        <v>177</v>
      </c>
      <c r="F556" t="s">
        <v>35</v>
      </c>
      <c r="G556">
        <v>67.27</v>
      </c>
      <c r="H556">
        <v>5</v>
      </c>
      <c r="I556">
        <v>16.817499999999999</v>
      </c>
      <c r="J556">
        <v>353.16750000000002</v>
      </c>
      <c r="K556" s="1">
        <v>43523</v>
      </c>
      <c r="L556" s="2">
        <v>0.7270833333333333</v>
      </c>
      <c r="M556" t="s">
        <v>29</v>
      </c>
      <c r="N556">
        <v>336.35</v>
      </c>
      <c r="O556">
        <v>4.7619047620000003</v>
      </c>
      <c r="P556">
        <v>16.817499999999999</v>
      </c>
      <c r="Q556">
        <v>6.9</v>
      </c>
      <c r="R556" s="3">
        <f t="shared" si="25"/>
        <v>43523.727083333331</v>
      </c>
      <c r="S556">
        <f t="shared" si="27"/>
        <v>2.9999999993015081</v>
      </c>
      <c r="T556">
        <f t="shared" si="26"/>
        <v>3</v>
      </c>
    </row>
    <row r="557" spans="1:20">
      <c r="A557" t="s">
        <v>675</v>
      </c>
      <c r="B557" t="s">
        <v>41</v>
      </c>
      <c r="C557" t="s">
        <v>42</v>
      </c>
      <c r="D557" t="s">
        <v>27</v>
      </c>
      <c r="E557" t="s">
        <v>177</v>
      </c>
      <c r="F557" t="s">
        <v>45</v>
      </c>
      <c r="G557">
        <v>52.42</v>
      </c>
      <c r="H557">
        <v>3</v>
      </c>
      <c r="I557">
        <v>7.8630000000000004</v>
      </c>
      <c r="J557">
        <v>165.12299999999999</v>
      </c>
      <c r="K557" s="1">
        <v>43523</v>
      </c>
      <c r="L557" s="2">
        <v>0.73333333333333328</v>
      </c>
      <c r="M557" t="s">
        <v>23</v>
      </c>
      <c r="N557">
        <v>157.26</v>
      </c>
      <c r="O557">
        <v>4.7619047620000003</v>
      </c>
      <c r="P557">
        <v>7.8630000000000004</v>
      </c>
      <c r="Q557">
        <v>7.5</v>
      </c>
      <c r="R557" s="3">
        <f t="shared" si="25"/>
        <v>43523.73333333333</v>
      </c>
      <c r="S557">
        <f t="shared" si="27"/>
        <v>8.9999999979045242</v>
      </c>
      <c r="T557">
        <f t="shared" si="26"/>
        <v>9</v>
      </c>
    </row>
    <row r="558" spans="1:20">
      <c r="A558" t="s">
        <v>124</v>
      </c>
      <c r="B558" t="s">
        <v>41</v>
      </c>
      <c r="C558" t="s">
        <v>42</v>
      </c>
      <c r="D558" t="s">
        <v>20</v>
      </c>
      <c r="E558" t="s">
        <v>21</v>
      </c>
      <c r="F558" t="s">
        <v>22</v>
      </c>
      <c r="G558">
        <v>76.989999999999995</v>
      </c>
      <c r="H558">
        <v>6</v>
      </c>
      <c r="I558">
        <v>23.097000000000001</v>
      </c>
      <c r="J558">
        <v>485.03699999999998</v>
      </c>
      <c r="K558" s="1">
        <v>43523</v>
      </c>
      <c r="L558" s="2">
        <v>0.74652777777777779</v>
      </c>
      <c r="M558" t="s">
        <v>29</v>
      </c>
      <c r="N558">
        <v>461.94</v>
      </c>
      <c r="O558">
        <v>4.7619047620000003</v>
      </c>
      <c r="P558">
        <v>23.097000000000001</v>
      </c>
      <c r="Q558">
        <v>6.1</v>
      </c>
      <c r="R558" s="3">
        <f t="shared" si="25"/>
        <v>43523.746527777781</v>
      </c>
      <c r="S558">
        <f t="shared" si="27"/>
        <v>19.000000009546056</v>
      </c>
      <c r="T558">
        <f t="shared" si="26"/>
        <v>19</v>
      </c>
    </row>
    <row r="559" spans="1:20">
      <c r="A559" t="s">
        <v>738</v>
      </c>
      <c r="B559" t="s">
        <v>41</v>
      </c>
      <c r="C559" t="s">
        <v>42</v>
      </c>
      <c r="D559" t="s">
        <v>20</v>
      </c>
      <c r="E559" t="s">
        <v>21</v>
      </c>
      <c r="F559" t="s">
        <v>45</v>
      </c>
      <c r="G559">
        <v>19.77</v>
      </c>
      <c r="H559">
        <v>10</v>
      </c>
      <c r="I559">
        <v>9.8849999999999998</v>
      </c>
      <c r="J559">
        <v>207.58500000000001</v>
      </c>
      <c r="K559" s="1">
        <v>43523</v>
      </c>
      <c r="L559" s="2">
        <v>0.7895833333333333</v>
      </c>
      <c r="M559" t="s">
        <v>32</v>
      </c>
      <c r="N559">
        <v>197.7</v>
      </c>
      <c r="O559">
        <v>4.7619047620000003</v>
      </c>
      <c r="P559">
        <v>9.8849999999999998</v>
      </c>
      <c r="Q559">
        <v>5</v>
      </c>
      <c r="R559" s="3">
        <f t="shared" si="25"/>
        <v>43523.789583333331</v>
      </c>
      <c r="S559">
        <f t="shared" si="27"/>
        <v>61.999999992549419</v>
      </c>
      <c r="T559">
        <f t="shared" si="26"/>
        <v>62</v>
      </c>
    </row>
    <row r="560" spans="1:20" hidden="1">
      <c r="A560" t="s">
        <v>522</v>
      </c>
      <c r="B560" t="s">
        <v>41</v>
      </c>
      <c r="C560" t="s">
        <v>42</v>
      </c>
      <c r="D560" t="s">
        <v>27</v>
      </c>
      <c r="E560" t="s">
        <v>21</v>
      </c>
      <c r="F560" t="s">
        <v>45</v>
      </c>
      <c r="G560">
        <v>41.09</v>
      </c>
      <c r="H560">
        <v>10</v>
      </c>
      <c r="I560">
        <v>20.545000000000002</v>
      </c>
      <c r="J560">
        <v>431.44499999999999</v>
      </c>
      <c r="K560" s="1">
        <v>43524</v>
      </c>
      <c r="L560" s="2">
        <v>0.61250000000000004</v>
      </c>
      <c r="M560" t="s">
        <v>29</v>
      </c>
      <c r="N560">
        <v>410.9</v>
      </c>
      <c r="O560">
        <v>4.7619047620000003</v>
      </c>
      <c r="P560">
        <v>20.545000000000002</v>
      </c>
      <c r="Q560">
        <v>7.3</v>
      </c>
      <c r="R560" s="3">
        <f t="shared" si="25"/>
        <v>43524.612500000003</v>
      </c>
      <c r="S560" t="str">
        <f t="shared" si="27"/>
        <v/>
      </c>
      <c r="T560" t="str">
        <f t="shared" si="26"/>
        <v/>
      </c>
    </row>
    <row r="561" spans="1:20">
      <c r="A561" t="s">
        <v>877</v>
      </c>
      <c r="B561" t="s">
        <v>41</v>
      </c>
      <c r="C561" t="s">
        <v>42</v>
      </c>
      <c r="D561" t="s">
        <v>27</v>
      </c>
      <c r="E561" t="s">
        <v>177</v>
      </c>
      <c r="F561" t="s">
        <v>28</v>
      </c>
      <c r="G561">
        <v>60.3</v>
      </c>
      <c r="H561">
        <v>1</v>
      </c>
      <c r="I561">
        <v>3.0150000000000001</v>
      </c>
      <c r="J561">
        <v>63.314999999999998</v>
      </c>
      <c r="K561" s="1">
        <v>43524</v>
      </c>
      <c r="L561" s="2">
        <v>0.73472222222222228</v>
      </c>
      <c r="M561" t="s">
        <v>29</v>
      </c>
      <c r="N561">
        <v>60.3</v>
      </c>
      <c r="O561">
        <v>4.7619047620000003</v>
      </c>
      <c r="P561">
        <v>3.0150000000000001</v>
      </c>
      <c r="Q561">
        <v>6</v>
      </c>
      <c r="R561" s="3">
        <f t="shared" si="25"/>
        <v>43524.734722222223</v>
      </c>
      <c r="S561">
        <f t="shared" si="27"/>
        <v>175.99999999743886</v>
      </c>
      <c r="T561">
        <f t="shared" si="26"/>
        <v>176</v>
      </c>
    </row>
    <row r="562" spans="1:20" hidden="1">
      <c r="A562" t="s">
        <v>631</v>
      </c>
      <c r="B562" t="s">
        <v>41</v>
      </c>
      <c r="C562" t="s">
        <v>42</v>
      </c>
      <c r="D562" t="s">
        <v>27</v>
      </c>
      <c r="E562" t="s">
        <v>177</v>
      </c>
      <c r="F562" t="s">
        <v>22</v>
      </c>
      <c r="G562">
        <v>14.82</v>
      </c>
      <c r="H562">
        <v>3</v>
      </c>
      <c r="I562">
        <v>2.2229999999999999</v>
      </c>
      <c r="J562">
        <v>46.683</v>
      </c>
      <c r="K562" s="1">
        <v>43525</v>
      </c>
      <c r="L562" s="2">
        <v>0.47916666666666669</v>
      </c>
      <c r="M562" t="s">
        <v>32</v>
      </c>
      <c r="N562">
        <v>44.46</v>
      </c>
      <c r="O562">
        <v>4.7619047620000003</v>
      </c>
      <c r="P562">
        <v>2.2229999999999999</v>
      </c>
      <c r="Q562">
        <v>8.6999999999999993</v>
      </c>
      <c r="R562" s="3">
        <f t="shared" si="25"/>
        <v>43525.479166666664</v>
      </c>
      <c r="S562" t="str">
        <f t="shared" si="27"/>
        <v/>
      </c>
      <c r="T562" t="str">
        <f t="shared" si="26"/>
        <v/>
      </c>
    </row>
    <row r="563" spans="1:20">
      <c r="A563" t="s">
        <v>615</v>
      </c>
      <c r="B563" t="s">
        <v>41</v>
      </c>
      <c r="C563" t="s">
        <v>42</v>
      </c>
      <c r="D563" t="s">
        <v>27</v>
      </c>
      <c r="E563" t="s">
        <v>177</v>
      </c>
      <c r="F563" t="s">
        <v>22</v>
      </c>
      <c r="G563">
        <v>69.510000000000005</v>
      </c>
      <c r="H563">
        <v>2</v>
      </c>
      <c r="I563">
        <v>6.9509999999999996</v>
      </c>
      <c r="J563">
        <v>145.971</v>
      </c>
      <c r="K563" s="1">
        <v>43525</v>
      </c>
      <c r="L563" s="2">
        <v>0.51041666666666663</v>
      </c>
      <c r="M563" t="s">
        <v>23</v>
      </c>
      <c r="N563">
        <v>139.02000000000001</v>
      </c>
      <c r="O563">
        <v>4.7619047620000003</v>
      </c>
      <c r="P563">
        <v>6.9509999999999996</v>
      </c>
      <c r="Q563">
        <v>8.1</v>
      </c>
      <c r="R563" s="3">
        <f t="shared" si="25"/>
        <v>43525.510416666664</v>
      </c>
      <c r="S563">
        <f t="shared" si="27"/>
        <v>45</v>
      </c>
      <c r="T563">
        <f t="shared" si="26"/>
        <v>45</v>
      </c>
    </row>
    <row r="564" spans="1:20">
      <c r="A564" t="s">
        <v>394</v>
      </c>
      <c r="B564" t="s">
        <v>41</v>
      </c>
      <c r="C564" t="s">
        <v>42</v>
      </c>
      <c r="D564" t="s">
        <v>27</v>
      </c>
      <c r="E564" t="s">
        <v>177</v>
      </c>
      <c r="F564" t="s">
        <v>28</v>
      </c>
      <c r="G564">
        <v>27.5</v>
      </c>
      <c r="H564">
        <v>3</v>
      </c>
      <c r="I564">
        <v>4.125</v>
      </c>
      <c r="J564">
        <v>86.625</v>
      </c>
      <c r="K564" s="1">
        <v>43525</v>
      </c>
      <c r="L564" s="2">
        <v>0.65277777777777779</v>
      </c>
      <c r="M564" t="s">
        <v>23</v>
      </c>
      <c r="N564">
        <v>82.5</v>
      </c>
      <c r="O564">
        <v>4.7619047620000003</v>
      </c>
      <c r="P564">
        <v>4.125</v>
      </c>
      <c r="Q564">
        <v>6.5</v>
      </c>
      <c r="R564" s="3">
        <f t="shared" si="25"/>
        <v>43525.652777777781</v>
      </c>
      <c r="S564">
        <f t="shared" si="27"/>
        <v>205.00000000814907</v>
      </c>
      <c r="T564">
        <f t="shared" si="26"/>
        <v>205</v>
      </c>
    </row>
    <row r="565" spans="1:20">
      <c r="A565" t="s">
        <v>611</v>
      </c>
      <c r="B565" t="s">
        <v>41</v>
      </c>
      <c r="C565" t="s">
        <v>42</v>
      </c>
      <c r="D565" t="s">
        <v>20</v>
      </c>
      <c r="E565" t="s">
        <v>177</v>
      </c>
      <c r="F565" t="s">
        <v>45</v>
      </c>
      <c r="G565">
        <v>81.31</v>
      </c>
      <c r="H565">
        <v>7</v>
      </c>
      <c r="I565">
        <v>28.458500000000001</v>
      </c>
      <c r="J565">
        <v>597.62850000000003</v>
      </c>
      <c r="K565" s="1">
        <v>43525</v>
      </c>
      <c r="L565" s="2">
        <v>0.8256944444444444</v>
      </c>
      <c r="M565" t="s">
        <v>23</v>
      </c>
      <c r="N565">
        <v>569.16999999999996</v>
      </c>
      <c r="O565">
        <v>4.7619047620000003</v>
      </c>
      <c r="P565">
        <v>28.458500000000001</v>
      </c>
      <c r="Q565">
        <v>6.3</v>
      </c>
      <c r="R565" s="3">
        <f t="shared" si="25"/>
        <v>43525.825694444444</v>
      </c>
      <c r="S565">
        <f t="shared" si="27"/>
        <v>248.99999999441206</v>
      </c>
      <c r="T565">
        <f t="shared" si="26"/>
        <v>249</v>
      </c>
    </row>
    <row r="566" spans="1:20">
      <c r="A566" t="s">
        <v>770</v>
      </c>
      <c r="B566" t="s">
        <v>41</v>
      </c>
      <c r="C566" t="s">
        <v>42</v>
      </c>
      <c r="D566" t="s">
        <v>20</v>
      </c>
      <c r="E566" t="s">
        <v>177</v>
      </c>
      <c r="F566" t="s">
        <v>43</v>
      </c>
      <c r="G566">
        <v>53.72</v>
      </c>
      <c r="H566">
        <v>1</v>
      </c>
      <c r="I566">
        <v>2.6859999999999999</v>
      </c>
      <c r="J566">
        <v>56.405999999999999</v>
      </c>
      <c r="K566" s="1">
        <v>43525</v>
      </c>
      <c r="L566" s="2">
        <v>0.8354166666666667</v>
      </c>
      <c r="M566" t="s">
        <v>23</v>
      </c>
      <c r="N566">
        <v>53.72</v>
      </c>
      <c r="O566">
        <v>4.7619047620000003</v>
      </c>
      <c r="P566">
        <v>2.6859999999999999</v>
      </c>
      <c r="Q566">
        <v>6.4</v>
      </c>
      <c r="R566" s="3">
        <f t="shared" si="25"/>
        <v>43525.835416666669</v>
      </c>
      <c r="S566">
        <f t="shared" si="27"/>
        <v>14.00000000372529</v>
      </c>
      <c r="T566">
        <f t="shared" si="26"/>
        <v>14</v>
      </c>
    </row>
    <row r="567" spans="1:20" hidden="1">
      <c r="A567" t="s">
        <v>955</v>
      </c>
      <c r="B567" t="s">
        <v>41</v>
      </c>
      <c r="C567" t="s">
        <v>42</v>
      </c>
      <c r="D567" t="s">
        <v>20</v>
      </c>
      <c r="E567" t="s">
        <v>21</v>
      </c>
      <c r="F567" t="s">
        <v>28</v>
      </c>
      <c r="G567">
        <v>26.26</v>
      </c>
      <c r="H567">
        <v>3</v>
      </c>
      <c r="I567">
        <v>3.9390000000000001</v>
      </c>
      <c r="J567">
        <v>82.718999999999994</v>
      </c>
      <c r="K567" s="1">
        <v>43526</v>
      </c>
      <c r="L567" s="2">
        <v>0.52500000000000002</v>
      </c>
      <c r="M567" t="s">
        <v>23</v>
      </c>
      <c r="N567">
        <v>78.78</v>
      </c>
      <c r="O567">
        <v>4.7619047620000003</v>
      </c>
      <c r="P567">
        <v>3.9390000000000001</v>
      </c>
      <c r="Q567">
        <v>6.3</v>
      </c>
      <c r="R567" s="3">
        <f t="shared" si="25"/>
        <v>43526.525000000001</v>
      </c>
      <c r="S567" t="str">
        <f t="shared" si="27"/>
        <v/>
      </c>
      <c r="T567" t="str">
        <f t="shared" si="26"/>
        <v/>
      </c>
    </row>
    <row r="568" spans="1:20">
      <c r="A568" t="s">
        <v>740</v>
      </c>
      <c r="B568" t="s">
        <v>41</v>
      </c>
      <c r="C568" t="s">
        <v>42</v>
      </c>
      <c r="D568" t="s">
        <v>20</v>
      </c>
      <c r="E568" t="s">
        <v>21</v>
      </c>
      <c r="F568" t="s">
        <v>31</v>
      </c>
      <c r="G568">
        <v>88.39</v>
      </c>
      <c r="H568">
        <v>9</v>
      </c>
      <c r="I568">
        <v>39.775500000000001</v>
      </c>
      <c r="J568">
        <v>835.28549999999996</v>
      </c>
      <c r="K568" s="1">
        <v>43526</v>
      </c>
      <c r="L568" s="2">
        <v>0.52777777777777779</v>
      </c>
      <c r="M568" t="s">
        <v>29</v>
      </c>
      <c r="N568">
        <v>795.51</v>
      </c>
      <c r="O568">
        <v>4.7619047620000003</v>
      </c>
      <c r="P568">
        <v>39.775500000000001</v>
      </c>
      <c r="Q568">
        <v>6.3</v>
      </c>
      <c r="R568" s="3">
        <f t="shared" si="25"/>
        <v>43526.527777777781</v>
      </c>
      <c r="S568">
        <f t="shared" si="27"/>
        <v>4.0000000025611371</v>
      </c>
      <c r="T568">
        <f t="shared" si="26"/>
        <v>4</v>
      </c>
    </row>
    <row r="569" spans="1:20">
      <c r="A569" t="s">
        <v>708</v>
      </c>
      <c r="B569" t="s">
        <v>41</v>
      </c>
      <c r="C569" t="s">
        <v>42</v>
      </c>
      <c r="D569" t="s">
        <v>27</v>
      </c>
      <c r="E569" t="s">
        <v>21</v>
      </c>
      <c r="F569" t="s">
        <v>22</v>
      </c>
      <c r="G569">
        <v>73.41</v>
      </c>
      <c r="H569">
        <v>3</v>
      </c>
      <c r="I569">
        <v>11.0115</v>
      </c>
      <c r="J569">
        <v>231.2415</v>
      </c>
      <c r="K569" s="1">
        <v>43526</v>
      </c>
      <c r="L569" s="2">
        <v>0.54861111111111116</v>
      </c>
      <c r="M569" t="s">
        <v>23</v>
      </c>
      <c r="N569">
        <v>220.23</v>
      </c>
      <c r="O569">
        <v>4.7619047620000003</v>
      </c>
      <c r="P569">
        <v>11.0115</v>
      </c>
      <c r="Q569">
        <v>4</v>
      </c>
      <c r="R569" s="3">
        <f t="shared" si="25"/>
        <v>43526.548611111109</v>
      </c>
      <c r="S569">
        <f t="shared" si="27"/>
        <v>29.999999993015081</v>
      </c>
      <c r="T569">
        <f t="shared" si="26"/>
        <v>30</v>
      </c>
    </row>
    <row r="570" spans="1:20">
      <c r="A570" t="s">
        <v>389</v>
      </c>
      <c r="B570" t="s">
        <v>41</v>
      </c>
      <c r="C570" t="s">
        <v>42</v>
      </c>
      <c r="D570" t="s">
        <v>20</v>
      </c>
      <c r="E570" t="s">
        <v>177</v>
      </c>
      <c r="F570" t="s">
        <v>31</v>
      </c>
      <c r="G570">
        <v>27</v>
      </c>
      <c r="H570">
        <v>9</v>
      </c>
      <c r="I570">
        <v>12.15</v>
      </c>
      <c r="J570">
        <v>255.15</v>
      </c>
      <c r="K570" s="1">
        <v>43526</v>
      </c>
      <c r="L570" s="2">
        <v>0.59444444444444444</v>
      </c>
      <c r="M570" t="s">
        <v>29</v>
      </c>
      <c r="N570">
        <v>243</v>
      </c>
      <c r="O570">
        <v>4.7619047620000003</v>
      </c>
      <c r="P570">
        <v>12.15</v>
      </c>
      <c r="Q570">
        <v>4.8</v>
      </c>
      <c r="R570" s="3">
        <f t="shared" si="25"/>
        <v>43526.594444444447</v>
      </c>
      <c r="S570">
        <f t="shared" si="27"/>
        <v>66.000000005587935</v>
      </c>
      <c r="T570">
        <f t="shared" si="26"/>
        <v>66</v>
      </c>
    </row>
    <row r="571" spans="1:20">
      <c r="A571" t="s">
        <v>1032</v>
      </c>
      <c r="B571" t="s">
        <v>41</v>
      </c>
      <c r="C571" t="s">
        <v>42</v>
      </c>
      <c r="D571" t="s">
        <v>27</v>
      </c>
      <c r="E571" t="s">
        <v>21</v>
      </c>
      <c r="F571" t="s">
        <v>31</v>
      </c>
      <c r="G571">
        <v>97.38</v>
      </c>
      <c r="H571">
        <v>10</v>
      </c>
      <c r="I571">
        <v>48.69</v>
      </c>
      <c r="J571">
        <v>1022.49</v>
      </c>
      <c r="K571" s="1">
        <v>43526</v>
      </c>
      <c r="L571" s="2">
        <v>0.71944444444444444</v>
      </c>
      <c r="M571" t="s">
        <v>23</v>
      </c>
      <c r="N571">
        <v>973.8</v>
      </c>
      <c r="O571">
        <v>4.7619047620000003</v>
      </c>
      <c r="P571">
        <v>48.69</v>
      </c>
      <c r="Q571">
        <v>4.4000000000000004</v>
      </c>
      <c r="R571" s="3">
        <f t="shared" si="25"/>
        <v>43526.719444444447</v>
      </c>
      <c r="S571">
        <f t="shared" si="27"/>
        <v>180</v>
      </c>
      <c r="T571">
        <f t="shared" si="26"/>
        <v>180</v>
      </c>
    </row>
    <row r="572" spans="1:20">
      <c r="A572" t="s">
        <v>1001</v>
      </c>
      <c r="B572" t="s">
        <v>41</v>
      </c>
      <c r="C572" t="s">
        <v>42</v>
      </c>
      <c r="D572" t="s">
        <v>27</v>
      </c>
      <c r="E572" t="s">
        <v>21</v>
      </c>
      <c r="F572" t="s">
        <v>28</v>
      </c>
      <c r="G572">
        <v>38.270000000000003</v>
      </c>
      <c r="H572">
        <v>2</v>
      </c>
      <c r="I572">
        <v>3.827</v>
      </c>
      <c r="J572">
        <v>80.367000000000004</v>
      </c>
      <c r="K572" s="1">
        <v>43526</v>
      </c>
      <c r="L572" s="2">
        <v>0.76249999999999996</v>
      </c>
      <c r="M572" t="s">
        <v>32</v>
      </c>
      <c r="N572">
        <v>76.540000000000006</v>
      </c>
      <c r="O572">
        <v>4.7619047620000003</v>
      </c>
      <c r="P572">
        <v>3.827</v>
      </c>
      <c r="Q572">
        <v>5.8</v>
      </c>
      <c r="R572" s="3">
        <f t="shared" si="25"/>
        <v>43526.762499999997</v>
      </c>
      <c r="S572">
        <f t="shared" si="27"/>
        <v>61.999999992549419</v>
      </c>
      <c r="T572">
        <f t="shared" si="26"/>
        <v>62</v>
      </c>
    </row>
    <row r="573" spans="1:20">
      <c r="A573" t="s">
        <v>274</v>
      </c>
      <c r="B573" t="s">
        <v>41</v>
      </c>
      <c r="C573" t="s">
        <v>42</v>
      </c>
      <c r="D573" t="s">
        <v>20</v>
      </c>
      <c r="E573" t="s">
        <v>21</v>
      </c>
      <c r="F573" t="s">
        <v>28</v>
      </c>
      <c r="G573">
        <v>13.22</v>
      </c>
      <c r="H573">
        <v>5</v>
      </c>
      <c r="I573">
        <v>3.3050000000000002</v>
      </c>
      <c r="J573">
        <v>69.405000000000001</v>
      </c>
      <c r="K573" s="1">
        <v>43526</v>
      </c>
      <c r="L573" s="2">
        <v>0.80972222222222223</v>
      </c>
      <c r="M573" t="s">
        <v>29</v>
      </c>
      <c r="N573">
        <v>66.099999999999994</v>
      </c>
      <c r="O573">
        <v>4.7619047620000003</v>
      </c>
      <c r="P573">
        <v>3.3050000000000002</v>
      </c>
      <c r="Q573">
        <v>4.3</v>
      </c>
      <c r="R573" s="3">
        <f t="shared" si="25"/>
        <v>43526.80972222222</v>
      </c>
      <c r="S573">
        <f t="shared" si="27"/>
        <v>68.000000001629815</v>
      </c>
      <c r="T573">
        <f t="shared" si="26"/>
        <v>68</v>
      </c>
    </row>
    <row r="574" spans="1:20">
      <c r="A574" t="s">
        <v>965</v>
      </c>
      <c r="B574" t="s">
        <v>41</v>
      </c>
      <c r="C574" t="s">
        <v>42</v>
      </c>
      <c r="D574" t="s">
        <v>27</v>
      </c>
      <c r="E574" t="s">
        <v>177</v>
      </c>
      <c r="F574" t="s">
        <v>35</v>
      </c>
      <c r="G574">
        <v>25.31</v>
      </c>
      <c r="H574">
        <v>2</v>
      </c>
      <c r="I574">
        <v>2.5310000000000001</v>
      </c>
      <c r="J574">
        <v>53.151000000000003</v>
      </c>
      <c r="K574" s="1">
        <v>43526</v>
      </c>
      <c r="L574" s="2">
        <v>0.80972222222222223</v>
      </c>
      <c r="M574" t="s">
        <v>23</v>
      </c>
      <c r="N574">
        <v>50.62</v>
      </c>
      <c r="O574">
        <v>4.7619047620000003</v>
      </c>
      <c r="P574">
        <v>2.5310000000000001</v>
      </c>
      <c r="Q574">
        <v>7.2</v>
      </c>
      <c r="R574" s="3">
        <f t="shared" si="25"/>
        <v>43526.80972222222</v>
      </c>
      <c r="S574">
        <f t="shared" si="27"/>
        <v>0</v>
      </c>
      <c r="T574">
        <f t="shared" si="26"/>
        <v>0</v>
      </c>
    </row>
    <row r="575" spans="1:20">
      <c r="A575" t="s">
        <v>245</v>
      </c>
      <c r="B575" t="s">
        <v>41</v>
      </c>
      <c r="C575" t="s">
        <v>42</v>
      </c>
      <c r="D575" t="s">
        <v>27</v>
      </c>
      <c r="E575" t="s">
        <v>21</v>
      </c>
      <c r="F575" t="s">
        <v>28</v>
      </c>
      <c r="G575">
        <v>99.73</v>
      </c>
      <c r="H575">
        <v>9</v>
      </c>
      <c r="I575">
        <v>44.878500000000003</v>
      </c>
      <c r="J575">
        <v>942.44849999999997</v>
      </c>
      <c r="K575" s="1">
        <v>43526</v>
      </c>
      <c r="L575" s="2">
        <v>0.8208333333333333</v>
      </c>
      <c r="M575" t="s">
        <v>32</v>
      </c>
      <c r="N575">
        <v>897.57</v>
      </c>
      <c r="O575">
        <v>4.7619047620000003</v>
      </c>
      <c r="P575">
        <v>44.878500000000003</v>
      </c>
      <c r="Q575">
        <v>6.5</v>
      </c>
      <c r="R575" s="3">
        <f t="shared" si="25"/>
        <v>43526.820833333331</v>
      </c>
      <c r="S575">
        <f t="shared" si="27"/>
        <v>15.999999999767169</v>
      </c>
      <c r="T575">
        <f t="shared" si="26"/>
        <v>16</v>
      </c>
    </row>
    <row r="576" spans="1:20" hidden="1">
      <c r="A576" t="s">
        <v>497</v>
      </c>
      <c r="B576" t="s">
        <v>41</v>
      </c>
      <c r="C576" t="s">
        <v>42</v>
      </c>
      <c r="D576" t="s">
        <v>20</v>
      </c>
      <c r="E576" t="s">
        <v>21</v>
      </c>
      <c r="F576" t="s">
        <v>43</v>
      </c>
      <c r="G576">
        <v>73.05</v>
      </c>
      <c r="H576">
        <v>10</v>
      </c>
      <c r="I576">
        <v>36.524999999999999</v>
      </c>
      <c r="J576">
        <v>767.02499999999998</v>
      </c>
      <c r="K576" s="1">
        <v>43527</v>
      </c>
      <c r="L576" s="2">
        <v>0.51736111111111116</v>
      </c>
      <c r="M576" t="s">
        <v>32</v>
      </c>
      <c r="N576">
        <v>730.5</v>
      </c>
      <c r="O576">
        <v>4.7619047620000003</v>
      </c>
      <c r="P576">
        <v>36.524999999999999</v>
      </c>
      <c r="Q576">
        <v>8.6999999999999993</v>
      </c>
      <c r="R576" s="3">
        <f t="shared" si="25"/>
        <v>43527.517361111109</v>
      </c>
      <c r="S576" t="str">
        <f t="shared" si="27"/>
        <v/>
      </c>
      <c r="T576" t="str">
        <f t="shared" si="26"/>
        <v/>
      </c>
    </row>
    <row r="577" spans="1:20">
      <c r="A577" t="s">
        <v>74</v>
      </c>
      <c r="B577" t="s">
        <v>41</v>
      </c>
      <c r="C577" t="s">
        <v>42</v>
      </c>
      <c r="D577" t="s">
        <v>20</v>
      </c>
      <c r="E577" t="s">
        <v>21</v>
      </c>
      <c r="F577" t="s">
        <v>31</v>
      </c>
      <c r="G577">
        <v>30.12</v>
      </c>
      <c r="H577">
        <v>8</v>
      </c>
      <c r="I577">
        <v>12.048</v>
      </c>
      <c r="J577">
        <v>253.00800000000001</v>
      </c>
      <c r="K577" s="1">
        <v>43527</v>
      </c>
      <c r="L577" s="2">
        <v>0.54236111111111107</v>
      </c>
      <c r="M577" t="s">
        <v>29</v>
      </c>
      <c r="N577">
        <v>240.96</v>
      </c>
      <c r="O577">
        <v>4.7619047620000003</v>
      </c>
      <c r="P577">
        <v>12.048</v>
      </c>
      <c r="Q577">
        <v>7.7</v>
      </c>
      <c r="R577" s="3">
        <f t="shared" si="25"/>
        <v>43527.542361111111</v>
      </c>
      <c r="S577">
        <f t="shared" si="27"/>
        <v>36.000000002095476</v>
      </c>
      <c r="T577">
        <f t="shared" si="26"/>
        <v>36</v>
      </c>
    </row>
    <row r="578" spans="1:20">
      <c r="A578" t="s">
        <v>222</v>
      </c>
      <c r="B578" t="s">
        <v>41</v>
      </c>
      <c r="C578" t="s">
        <v>42</v>
      </c>
      <c r="D578" t="s">
        <v>20</v>
      </c>
      <c r="E578" t="s">
        <v>21</v>
      </c>
      <c r="F578" t="s">
        <v>31</v>
      </c>
      <c r="G578">
        <v>94.49</v>
      </c>
      <c r="H578">
        <v>8</v>
      </c>
      <c r="I578">
        <v>37.795999999999999</v>
      </c>
      <c r="J578">
        <v>793.71600000000001</v>
      </c>
      <c r="K578" s="1">
        <v>43527</v>
      </c>
      <c r="L578" s="2">
        <v>0.79166666666666663</v>
      </c>
      <c r="M578" t="s">
        <v>23</v>
      </c>
      <c r="N578">
        <v>755.92</v>
      </c>
      <c r="O578">
        <v>4.7619047620000003</v>
      </c>
      <c r="P578">
        <v>37.795999999999999</v>
      </c>
      <c r="Q578">
        <v>7.5</v>
      </c>
      <c r="R578" s="3">
        <f t="shared" ref="R578:R641" si="28">K578+L578</f>
        <v>43527.791666666664</v>
      </c>
      <c r="S578">
        <f t="shared" si="27"/>
        <v>358.99999999674037</v>
      </c>
      <c r="T578">
        <f t="shared" si="26"/>
        <v>359</v>
      </c>
    </row>
    <row r="579" spans="1:20" hidden="1">
      <c r="A579" t="s">
        <v>435</v>
      </c>
      <c r="B579" t="s">
        <v>41</v>
      </c>
      <c r="C579" t="s">
        <v>42</v>
      </c>
      <c r="D579" t="s">
        <v>20</v>
      </c>
      <c r="E579" t="s">
        <v>177</v>
      </c>
      <c r="F579" t="s">
        <v>28</v>
      </c>
      <c r="G579">
        <v>19.239999999999998</v>
      </c>
      <c r="H579">
        <v>9</v>
      </c>
      <c r="I579">
        <v>8.6579999999999995</v>
      </c>
      <c r="J579">
        <v>181.81800000000001</v>
      </c>
      <c r="K579" s="1">
        <v>43528</v>
      </c>
      <c r="L579" s="2">
        <v>0.68611111111111112</v>
      </c>
      <c r="M579" t="s">
        <v>29</v>
      </c>
      <c r="N579">
        <v>173.16</v>
      </c>
      <c r="O579">
        <v>4.7619047620000003</v>
      </c>
      <c r="P579">
        <v>8.6579999999999995</v>
      </c>
      <c r="Q579">
        <v>8</v>
      </c>
      <c r="R579" s="3">
        <f t="shared" si="28"/>
        <v>43528.686111111114</v>
      </c>
      <c r="S579" t="str">
        <f t="shared" si="27"/>
        <v/>
      </c>
      <c r="T579" t="str">
        <f t="shared" ref="T579:T642" si="29">IF(S579="","",ROUND(S579,2))</f>
        <v/>
      </c>
    </row>
    <row r="580" spans="1:20" hidden="1">
      <c r="A580" t="s">
        <v>56</v>
      </c>
      <c r="B580" t="s">
        <v>41</v>
      </c>
      <c r="C580" t="s">
        <v>42</v>
      </c>
      <c r="D580" t="s">
        <v>20</v>
      </c>
      <c r="E580" t="s">
        <v>21</v>
      </c>
      <c r="F580" t="s">
        <v>22</v>
      </c>
      <c r="G580">
        <v>87.98</v>
      </c>
      <c r="H580">
        <v>3</v>
      </c>
      <c r="I580">
        <v>13.196999999999999</v>
      </c>
      <c r="J580">
        <v>277.137</v>
      </c>
      <c r="K580" s="1">
        <v>43529</v>
      </c>
      <c r="L580" s="2">
        <v>0.44444444444444442</v>
      </c>
      <c r="M580" t="s">
        <v>23</v>
      </c>
      <c r="N580">
        <v>263.94</v>
      </c>
      <c r="O580">
        <v>4.7619047620000003</v>
      </c>
      <c r="P580">
        <v>13.196999999999999</v>
      </c>
      <c r="Q580">
        <v>5.0999999999999996</v>
      </c>
      <c r="R580" s="3">
        <f t="shared" si="28"/>
        <v>43529.444444444445</v>
      </c>
      <c r="S580" t="str">
        <f t="shared" si="27"/>
        <v/>
      </c>
      <c r="T580" t="str">
        <f t="shared" si="29"/>
        <v/>
      </c>
    </row>
    <row r="581" spans="1:20">
      <c r="A581" t="s">
        <v>151</v>
      </c>
      <c r="B581" t="s">
        <v>41</v>
      </c>
      <c r="C581" t="s">
        <v>42</v>
      </c>
      <c r="D581" t="s">
        <v>20</v>
      </c>
      <c r="E581" t="s">
        <v>21</v>
      </c>
      <c r="F581" t="s">
        <v>45</v>
      </c>
      <c r="G581">
        <v>21.94</v>
      </c>
      <c r="H581">
        <v>5</v>
      </c>
      <c r="I581">
        <v>5.4850000000000003</v>
      </c>
      <c r="J581">
        <v>115.185</v>
      </c>
      <c r="K581" s="1">
        <v>43529</v>
      </c>
      <c r="L581" s="2">
        <v>0.52013888888888893</v>
      </c>
      <c r="M581" t="s">
        <v>23</v>
      </c>
      <c r="N581">
        <v>109.7</v>
      </c>
      <c r="O581">
        <v>4.7619047620000003</v>
      </c>
      <c r="P581">
        <v>5.4850000000000003</v>
      </c>
      <c r="Q581">
        <v>5.3</v>
      </c>
      <c r="R581" s="3">
        <f t="shared" si="28"/>
        <v>43529.520138888889</v>
      </c>
      <c r="S581">
        <f t="shared" si="27"/>
        <v>108.99999999906868</v>
      </c>
      <c r="T581">
        <f t="shared" si="29"/>
        <v>109</v>
      </c>
    </row>
    <row r="582" spans="1:20">
      <c r="A582" t="s">
        <v>434</v>
      </c>
      <c r="B582" t="s">
        <v>41</v>
      </c>
      <c r="C582" t="s">
        <v>42</v>
      </c>
      <c r="D582" t="s">
        <v>20</v>
      </c>
      <c r="E582" t="s">
        <v>21</v>
      </c>
      <c r="F582" t="s">
        <v>22</v>
      </c>
      <c r="G582">
        <v>41.06</v>
      </c>
      <c r="H582">
        <v>6</v>
      </c>
      <c r="I582">
        <v>12.318</v>
      </c>
      <c r="J582">
        <v>258.678</v>
      </c>
      <c r="K582" s="1">
        <v>43529</v>
      </c>
      <c r="L582" s="2">
        <v>0.5625</v>
      </c>
      <c r="M582" t="s">
        <v>32</v>
      </c>
      <c r="N582">
        <v>246.36</v>
      </c>
      <c r="O582">
        <v>4.7619047620000003</v>
      </c>
      <c r="P582">
        <v>12.318</v>
      </c>
      <c r="Q582">
        <v>8.3000000000000007</v>
      </c>
      <c r="R582" s="3">
        <f t="shared" si="28"/>
        <v>43529.5625</v>
      </c>
      <c r="S582">
        <f t="shared" si="27"/>
        <v>60.999999999767169</v>
      </c>
      <c r="T582">
        <f t="shared" si="29"/>
        <v>61</v>
      </c>
    </row>
    <row r="583" spans="1:20">
      <c r="A583" t="s">
        <v>763</v>
      </c>
      <c r="B583" t="s">
        <v>41</v>
      </c>
      <c r="C583" t="s">
        <v>42</v>
      </c>
      <c r="D583" t="s">
        <v>27</v>
      </c>
      <c r="E583" t="s">
        <v>177</v>
      </c>
      <c r="F583" t="s">
        <v>35</v>
      </c>
      <c r="G583">
        <v>69.739999999999995</v>
      </c>
      <c r="H583">
        <v>10</v>
      </c>
      <c r="I583">
        <v>34.869999999999997</v>
      </c>
      <c r="J583">
        <v>732.27</v>
      </c>
      <c r="K583" s="1">
        <v>43529</v>
      </c>
      <c r="L583" s="2">
        <v>0.74236111111111114</v>
      </c>
      <c r="M583" t="s">
        <v>32</v>
      </c>
      <c r="N583">
        <v>697.4</v>
      </c>
      <c r="O583">
        <v>4.7619047620000003</v>
      </c>
      <c r="P583">
        <v>34.869999999999997</v>
      </c>
      <c r="Q583">
        <v>8.9</v>
      </c>
      <c r="R583" s="3">
        <f t="shared" si="28"/>
        <v>43529.742361111108</v>
      </c>
      <c r="S583">
        <f t="shared" si="27"/>
        <v>258.99999999557622</v>
      </c>
      <c r="T583">
        <f t="shared" si="29"/>
        <v>259</v>
      </c>
    </row>
    <row r="584" spans="1:20">
      <c r="A584" t="s">
        <v>134</v>
      </c>
      <c r="B584" t="s">
        <v>41</v>
      </c>
      <c r="C584" t="s">
        <v>42</v>
      </c>
      <c r="D584" t="s">
        <v>20</v>
      </c>
      <c r="E584" t="s">
        <v>21</v>
      </c>
      <c r="F584" t="s">
        <v>31</v>
      </c>
      <c r="G584">
        <v>82.7</v>
      </c>
      <c r="H584">
        <v>6</v>
      </c>
      <c r="I584">
        <v>24.81</v>
      </c>
      <c r="J584">
        <v>521.01</v>
      </c>
      <c r="K584" s="1">
        <v>43529</v>
      </c>
      <c r="L584" s="2">
        <v>0.75972222222222219</v>
      </c>
      <c r="M584" t="s">
        <v>29</v>
      </c>
      <c r="N584">
        <v>496.2</v>
      </c>
      <c r="O584">
        <v>4.7619047620000003</v>
      </c>
      <c r="P584">
        <v>24.81</v>
      </c>
      <c r="Q584">
        <v>7.4</v>
      </c>
      <c r="R584" s="3">
        <f t="shared" si="28"/>
        <v>43529.759722222225</v>
      </c>
      <c r="S584">
        <f t="shared" si="27"/>
        <v>25.000000008149073</v>
      </c>
      <c r="T584">
        <f t="shared" si="29"/>
        <v>25</v>
      </c>
    </row>
    <row r="585" spans="1:20">
      <c r="A585" t="s">
        <v>107</v>
      </c>
      <c r="B585" t="s">
        <v>41</v>
      </c>
      <c r="C585" t="s">
        <v>42</v>
      </c>
      <c r="D585" t="s">
        <v>20</v>
      </c>
      <c r="E585" t="s">
        <v>21</v>
      </c>
      <c r="F585" t="s">
        <v>43</v>
      </c>
      <c r="G585">
        <v>48.52</v>
      </c>
      <c r="H585">
        <v>3</v>
      </c>
      <c r="I585">
        <v>7.2779999999999996</v>
      </c>
      <c r="J585">
        <v>152.83799999999999</v>
      </c>
      <c r="K585" s="1">
        <v>43529</v>
      </c>
      <c r="L585" s="2">
        <v>0.76180555555555551</v>
      </c>
      <c r="M585" t="s">
        <v>23</v>
      </c>
      <c r="N585">
        <v>145.56</v>
      </c>
      <c r="O585">
        <v>4.7619047620000003</v>
      </c>
      <c r="P585">
        <v>7.2779999999999996</v>
      </c>
      <c r="Q585">
        <v>4</v>
      </c>
      <c r="R585" s="3">
        <f t="shared" si="28"/>
        <v>43529.761805555558</v>
      </c>
      <c r="S585">
        <f t="shared" si="27"/>
        <v>2.9999999993015081</v>
      </c>
      <c r="T585">
        <f t="shared" si="29"/>
        <v>3</v>
      </c>
    </row>
    <row r="586" spans="1:20">
      <c r="A586" t="s">
        <v>377</v>
      </c>
      <c r="B586" t="s">
        <v>41</v>
      </c>
      <c r="C586" t="s">
        <v>42</v>
      </c>
      <c r="D586" t="s">
        <v>20</v>
      </c>
      <c r="E586" t="s">
        <v>21</v>
      </c>
      <c r="F586" t="s">
        <v>22</v>
      </c>
      <c r="G586">
        <v>55.97</v>
      </c>
      <c r="H586">
        <v>7</v>
      </c>
      <c r="I586">
        <v>19.589500000000001</v>
      </c>
      <c r="J586">
        <v>411.37950000000001</v>
      </c>
      <c r="K586" s="1">
        <v>43529</v>
      </c>
      <c r="L586" s="2">
        <v>0.79583333333333328</v>
      </c>
      <c r="M586" t="s">
        <v>23</v>
      </c>
      <c r="N586">
        <v>391.79</v>
      </c>
      <c r="O586">
        <v>4.7619047620000003</v>
      </c>
      <c r="P586">
        <v>19.589500000000001</v>
      </c>
      <c r="Q586">
        <v>8.9</v>
      </c>
      <c r="R586" s="3">
        <f t="shared" si="28"/>
        <v>43529.79583333333</v>
      </c>
      <c r="S586">
        <f t="shared" si="27"/>
        <v>48.999999992083758</v>
      </c>
      <c r="T586">
        <f t="shared" si="29"/>
        <v>49</v>
      </c>
    </row>
    <row r="587" spans="1:20">
      <c r="A587" t="s">
        <v>801</v>
      </c>
      <c r="B587" t="s">
        <v>41</v>
      </c>
      <c r="C587" t="s">
        <v>42</v>
      </c>
      <c r="D587" t="s">
        <v>27</v>
      </c>
      <c r="E587" t="s">
        <v>21</v>
      </c>
      <c r="F587" t="s">
        <v>31</v>
      </c>
      <c r="G587">
        <v>95.46</v>
      </c>
      <c r="H587">
        <v>8</v>
      </c>
      <c r="I587">
        <v>38.183999999999997</v>
      </c>
      <c r="J587">
        <v>801.86400000000003</v>
      </c>
      <c r="K587" s="1">
        <v>43529</v>
      </c>
      <c r="L587" s="2">
        <v>0.81944444444444442</v>
      </c>
      <c r="M587" t="s">
        <v>23</v>
      </c>
      <c r="N587">
        <v>763.68</v>
      </c>
      <c r="O587">
        <v>4.7619047620000003</v>
      </c>
      <c r="P587">
        <v>38.183999999999997</v>
      </c>
      <c r="Q587">
        <v>4.7</v>
      </c>
      <c r="R587" s="3">
        <f t="shared" si="28"/>
        <v>43529.819444444445</v>
      </c>
      <c r="S587">
        <f t="shared" si="27"/>
        <v>34.000000006053597</v>
      </c>
      <c r="T587">
        <f t="shared" si="29"/>
        <v>34</v>
      </c>
    </row>
    <row r="588" spans="1:20">
      <c r="A588" t="s">
        <v>221</v>
      </c>
      <c r="B588" t="s">
        <v>41</v>
      </c>
      <c r="C588" t="s">
        <v>42</v>
      </c>
      <c r="D588" t="s">
        <v>20</v>
      </c>
      <c r="E588" t="s">
        <v>177</v>
      </c>
      <c r="F588" t="s">
        <v>43</v>
      </c>
      <c r="G588">
        <v>18.079999999999998</v>
      </c>
      <c r="H588">
        <v>3</v>
      </c>
      <c r="I588">
        <v>2.7120000000000002</v>
      </c>
      <c r="J588">
        <v>56.951999999999998</v>
      </c>
      <c r="K588" s="1">
        <v>43529</v>
      </c>
      <c r="L588" s="2">
        <v>0.82361111111111107</v>
      </c>
      <c r="M588" t="s">
        <v>23</v>
      </c>
      <c r="N588">
        <v>54.24</v>
      </c>
      <c r="O588">
        <v>4.7619047620000003</v>
      </c>
      <c r="P588">
        <v>2.7120000000000002</v>
      </c>
      <c r="Q588">
        <v>8</v>
      </c>
      <c r="R588" s="3">
        <f t="shared" si="28"/>
        <v>43529.823611111111</v>
      </c>
      <c r="S588">
        <f t="shared" si="27"/>
        <v>5.9999999986030161</v>
      </c>
      <c r="T588">
        <f t="shared" si="29"/>
        <v>6</v>
      </c>
    </row>
    <row r="589" spans="1:20">
      <c r="A589" t="s">
        <v>528</v>
      </c>
      <c r="B589" t="s">
        <v>41</v>
      </c>
      <c r="C589" t="s">
        <v>42</v>
      </c>
      <c r="D589" t="s">
        <v>20</v>
      </c>
      <c r="E589" t="s">
        <v>21</v>
      </c>
      <c r="F589" t="s">
        <v>22</v>
      </c>
      <c r="G589">
        <v>25.32</v>
      </c>
      <c r="H589">
        <v>8</v>
      </c>
      <c r="I589">
        <v>10.128</v>
      </c>
      <c r="J589">
        <v>212.68799999999999</v>
      </c>
      <c r="K589" s="1">
        <v>43529</v>
      </c>
      <c r="L589" s="2">
        <v>0.85</v>
      </c>
      <c r="M589" t="s">
        <v>23</v>
      </c>
      <c r="N589">
        <v>202.56</v>
      </c>
      <c r="O589">
        <v>4.7619047620000003</v>
      </c>
      <c r="P589">
        <v>10.128</v>
      </c>
      <c r="Q589">
        <v>8.6999999999999993</v>
      </c>
      <c r="R589" s="3">
        <f t="shared" si="28"/>
        <v>43529.85</v>
      </c>
      <c r="S589">
        <f t="shared" si="27"/>
        <v>37.999999998137355</v>
      </c>
      <c r="T589">
        <f t="shared" si="29"/>
        <v>38</v>
      </c>
    </row>
    <row r="590" spans="1:20" hidden="1">
      <c r="A590" t="s">
        <v>1011</v>
      </c>
      <c r="B590" t="s">
        <v>41</v>
      </c>
      <c r="C590" t="s">
        <v>42</v>
      </c>
      <c r="D590" t="s">
        <v>20</v>
      </c>
      <c r="E590" t="s">
        <v>177</v>
      </c>
      <c r="F590" t="s">
        <v>45</v>
      </c>
      <c r="G590">
        <v>49.92</v>
      </c>
      <c r="H590">
        <v>2</v>
      </c>
      <c r="I590">
        <v>4.992</v>
      </c>
      <c r="J590">
        <v>104.83199999999999</v>
      </c>
      <c r="K590" s="1">
        <v>43530</v>
      </c>
      <c r="L590" s="2">
        <v>0.49652777777777779</v>
      </c>
      <c r="M590" t="s">
        <v>32</v>
      </c>
      <c r="N590">
        <v>99.84</v>
      </c>
      <c r="O590">
        <v>4.7619047620000003</v>
      </c>
      <c r="P590">
        <v>4.992</v>
      </c>
      <c r="Q590">
        <v>7</v>
      </c>
      <c r="R590" s="3">
        <f t="shared" si="28"/>
        <v>43530.496527777781</v>
      </c>
      <c r="S590" t="str">
        <f t="shared" si="27"/>
        <v/>
      </c>
      <c r="T590" t="str">
        <f t="shared" si="29"/>
        <v/>
      </c>
    </row>
    <row r="591" spans="1:20">
      <c r="A591" t="s">
        <v>257</v>
      </c>
      <c r="B591" t="s">
        <v>41</v>
      </c>
      <c r="C591" t="s">
        <v>42</v>
      </c>
      <c r="D591" t="s">
        <v>27</v>
      </c>
      <c r="E591" t="s">
        <v>177</v>
      </c>
      <c r="F591" t="s">
        <v>43</v>
      </c>
      <c r="G591">
        <v>62.08</v>
      </c>
      <c r="H591">
        <v>7</v>
      </c>
      <c r="I591">
        <v>21.728000000000002</v>
      </c>
      <c r="J591">
        <v>456.28800000000001</v>
      </c>
      <c r="K591" s="1">
        <v>43530</v>
      </c>
      <c r="L591" s="2">
        <v>0.57361111111111107</v>
      </c>
      <c r="M591" t="s">
        <v>23</v>
      </c>
      <c r="N591">
        <v>434.56</v>
      </c>
      <c r="O591">
        <v>4.7619047620000003</v>
      </c>
      <c r="P591">
        <v>21.728000000000002</v>
      </c>
      <c r="Q591">
        <v>5.4</v>
      </c>
      <c r="R591" s="3">
        <f t="shared" si="28"/>
        <v>43530.573611111111</v>
      </c>
      <c r="S591">
        <f t="shared" si="27"/>
        <v>110.99999999511056</v>
      </c>
      <c r="T591">
        <f t="shared" si="29"/>
        <v>111</v>
      </c>
    </row>
    <row r="592" spans="1:20">
      <c r="A592" t="s">
        <v>184</v>
      </c>
      <c r="B592" t="s">
        <v>41</v>
      </c>
      <c r="C592" t="s">
        <v>42</v>
      </c>
      <c r="D592" t="s">
        <v>20</v>
      </c>
      <c r="E592" t="s">
        <v>177</v>
      </c>
      <c r="F592" t="s">
        <v>31</v>
      </c>
      <c r="G592">
        <v>71.86</v>
      </c>
      <c r="H592">
        <v>8</v>
      </c>
      <c r="I592">
        <v>28.744</v>
      </c>
      <c r="J592">
        <v>603.62400000000002</v>
      </c>
      <c r="K592" s="1">
        <v>43530</v>
      </c>
      <c r="L592" s="2">
        <v>0.62986111111111109</v>
      </c>
      <c r="M592" t="s">
        <v>32</v>
      </c>
      <c r="N592">
        <v>574.88</v>
      </c>
      <c r="O592">
        <v>4.7619047620000003</v>
      </c>
      <c r="P592">
        <v>28.744</v>
      </c>
      <c r="Q592">
        <v>6.2</v>
      </c>
      <c r="R592" s="3">
        <f t="shared" si="28"/>
        <v>43530.629861111112</v>
      </c>
      <c r="S592">
        <f t="shared" si="27"/>
        <v>81.000000002095476</v>
      </c>
      <c r="T592">
        <f t="shared" si="29"/>
        <v>81</v>
      </c>
    </row>
    <row r="593" spans="1:20">
      <c r="A593" t="s">
        <v>689</v>
      </c>
      <c r="B593" t="s">
        <v>41</v>
      </c>
      <c r="C593" t="s">
        <v>42</v>
      </c>
      <c r="D593" t="s">
        <v>20</v>
      </c>
      <c r="E593" t="s">
        <v>177</v>
      </c>
      <c r="F593" t="s">
        <v>35</v>
      </c>
      <c r="G593">
        <v>37.32</v>
      </c>
      <c r="H593">
        <v>9</v>
      </c>
      <c r="I593">
        <v>16.794</v>
      </c>
      <c r="J593">
        <v>352.67399999999998</v>
      </c>
      <c r="K593" s="1">
        <v>43530</v>
      </c>
      <c r="L593" s="2">
        <v>0.64652777777777781</v>
      </c>
      <c r="M593" t="s">
        <v>23</v>
      </c>
      <c r="N593">
        <v>335.88</v>
      </c>
      <c r="O593">
        <v>4.7619047620000003</v>
      </c>
      <c r="P593">
        <v>16.794</v>
      </c>
      <c r="Q593">
        <v>5.0999999999999996</v>
      </c>
      <c r="R593" s="3">
        <f t="shared" si="28"/>
        <v>43530.646527777775</v>
      </c>
      <c r="S593">
        <f t="shared" ref="S593:S656" si="30">IF(K593=K592, (R593-R592)*1440, "")</f>
        <v>23.999999994412065</v>
      </c>
      <c r="T593">
        <f t="shared" si="29"/>
        <v>24</v>
      </c>
    </row>
    <row r="594" spans="1:20">
      <c r="A594" t="s">
        <v>306</v>
      </c>
      <c r="B594" t="s">
        <v>41</v>
      </c>
      <c r="C594" t="s">
        <v>42</v>
      </c>
      <c r="D594" t="s">
        <v>27</v>
      </c>
      <c r="E594" t="s">
        <v>21</v>
      </c>
      <c r="F594" t="s">
        <v>35</v>
      </c>
      <c r="G594">
        <v>67.430000000000007</v>
      </c>
      <c r="H594">
        <v>5</v>
      </c>
      <c r="I594">
        <v>16.857500000000002</v>
      </c>
      <c r="J594">
        <v>354.00749999999999</v>
      </c>
      <c r="K594" s="1">
        <v>43530</v>
      </c>
      <c r="L594" s="2">
        <v>0.75902777777777775</v>
      </c>
      <c r="M594" t="s">
        <v>23</v>
      </c>
      <c r="N594">
        <v>337.15</v>
      </c>
      <c r="O594">
        <v>4.7619047620000003</v>
      </c>
      <c r="P594">
        <v>16.857500000000002</v>
      </c>
      <c r="Q594">
        <v>6.3</v>
      </c>
      <c r="R594" s="3">
        <f t="shared" si="28"/>
        <v>43530.759027777778</v>
      </c>
      <c r="S594">
        <f t="shared" si="30"/>
        <v>162.00000000419095</v>
      </c>
      <c r="T594">
        <f t="shared" si="29"/>
        <v>162</v>
      </c>
    </row>
    <row r="595" spans="1:20">
      <c r="A595" t="s">
        <v>929</v>
      </c>
      <c r="B595" t="s">
        <v>41</v>
      </c>
      <c r="C595" t="s">
        <v>42</v>
      </c>
      <c r="D595" t="s">
        <v>27</v>
      </c>
      <c r="E595" t="s">
        <v>177</v>
      </c>
      <c r="F595" t="s">
        <v>28</v>
      </c>
      <c r="G595">
        <v>28.38</v>
      </c>
      <c r="H595">
        <v>5</v>
      </c>
      <c r="I595">
        <v>7.0949999999999998</v>
      </c>
      <c r="J595">
        <v>148.995</v>
      </c>
      <c r="K595" s="1">
        <v>43530</v>
      </c>
      <c r="L595" s="2">
        <v>0.87291666666666667</v>
      </c>
      <c r="M595" t="s">
        <v>29</v>
      </c>
      <c r="N595">
        <v>141.9</v>
      </c>
      <c r="O595">
        <v>4.7619047620000003</v>
      </c>
      <c r="P595">
        <v>7.0949999999999998</v>
      </c>
      <c r="Q595">
        <v>9.4</v>
      </c>
      <c r="R595" s="3">
        <f t="shared" si="28"/>
        <v>43530.872916666667</v>
      </c>
      <c r="S595">
        <f t="shared" si="30"/>
        <v>164.00000000023283</v>
      </c>
      <c r="T595">
        <f t="shared" si="29"/>
        <v>164</v>
      </c>
    </row>
    <row r="596" spans="1:20" hidden="1">
      <c r="A596" t="s">
        <v>89</v>
      </c>
      <c r="B596" t="s">
        <v>41</v>
      </c>
      <c r="C596" t="s">
        <v>42</v>
      </c>
      <c r="D596" t="s">
        <v>20</v>
      </c>
      <c r="E596" t="s">
        <v>21</v>
      </c>
      <c r="F596" t="s">
        <v>31</v>
      </c>
      <c r="G596">
        <v>16.16</v>
      </c>
      <c r="H596">
        <v>2</v>
      </c>
      <c r="I596">
        <v>1.6160000000000001</v>
      </c>
      <c r="J596">
        <v>33.936</v>
      </c>
      <c r="K596" s="1">
        <v>43531</v>
      </c>
      <c r="L596" s="2">
        <v>0.49236111111111114</v>
      </c>
      <c r="M596" t="s">
        <v>23</v>
      </c>
      <c r="N596">
        <v>32.32</v>
      </c>
      <c r="O596">
        <v>4.7619047620000003</v>
      </c>
      <c r="P596">
        <v>1.6160000000000001</v>
      </c>
      <c r="Q596">
        <v>6.5</v>
      </c>
      <c r="R596" s="3">
        <f t="shared" si="28"/>
        <v>43531.492361111108</v>
      </c>
      <c r="S596" t="str">
        <f t="shared" si="30"/>
        <v/>
      </c>
      <c r="T596" t="str">
        <f t="shared" si="29"/>
        <v/>
      </c>
    </row>
    <row r="597" spans="1:20">
      <c r="A597" t="s">
        <v>193</v>
      </c>
      <c r="B597" t="s">
        <v>41</v>
      </c>
      <c r="C597" t="s">
        <v>42</v>
      </c>
      <c r="D597" t="s">
        <v>27</v>
      </c>
      <c r="E597" t="s">
        <v>177</v>
      </c>
      <c r="F597" t="s">
        <v>31</v>
      </c>
      <c r="G597">
        <v>50.28</v>
      </c>
      <c r="H597">
        <v>5</v>
      </c>
      <c r="I597">
        <v>12.57</v>
      </c>
      <c r="J597">
        <v>263.97000000000003</v>
      </c>
      <c r="K597" s="1">
        <v>43531</v>
      </c>
      <c r="L597" s="2">
        <v>0.58194444444444449</v>
      </c>
      <c r="M597" t="s">
        <v>23</v>
      </c>
      <c r="N597">
        <v>251.4</v>
      </c>
      <c r="O597">
        <v>4.7619047620000003</v>
      </c>
      <c r="P597">
        <v>12.57</v>
      </c>
      <c r="Q597">
        <v>9.6999999999999993</v>
      </c>
      <c r="R597" s="3">
        <f t="shared" si="28"/>
        <v>43531.581944444442</v>
      </c>
      <c r="S597">
        <f t="shared" si="30"/>
        <v>129.00000000139698</v>
      </c>
      <c r="T597">
        <f t="shared" si="29"/>
        <v>129</v>
      </c>
    </row>
    <row r="598" spans="1:20" hidden="1">
      <c r="A598" t="s">
        <v>674</v>
      </c>
      <c r="B598" t="s">
        <v>41</v>
      </c>
      <c r="C598" t="s">
        <v>42</v>
      </c>
      <c r="D598" t="s">
        <v>20</v>
      </c>
      <c r="E598" t="s">
        <v>21</v>
      </c>
      <c r="F598" t="s">
        <v>43</v>
      </c>
      <c r="G598">
        <v>17.63</v>
      </c>
      <c r="H598">
        <v>5</v>
      </c>
      <c r="I598">
        <v>4.4074999999999998</v>
      </c>
      <c r="J598">
        <v>92.557500000000005</v>
      </c>
      <c r="K598" s="1">
        <v>43532</v>
      </c>
      <c r="L598" s="2">
        <v>0.64375000000000004</v>
      </c>
      <c r="M598" t="s">
        <v>29</v>
      </c>
      <c r="N598">
        <v>88.15</v>
      </c>
      <c r="O598">
        <v>4.7619047620000003</v>
      </c>
      <c r="P598">
        <v>4.4074999999999998</v>
      </c>
      <c r="Q598">
        <v>8.5</v>
      </c>
      <c r="R598" s="3">
        <f t="shared" si="28"/>
        <v>43532.643750000003</v>
      </c>
      <c r="S598" t="str">
        <f t="shared" si="30"/>
        <v/>
      </c>
      <c r="T598" t="str">
        <f t="shared" si="29"/>
        <v/>
      </c>
    </row>
    <row r="599" spans="1:20" hidden="1">
      <c r="A599" t="s">
        <v>765</v>
      </c>
      <c r="B599" t="s">
        <v>41</v>
      </c>
      <c r="C599" t="s">
        <v>42</v>
      </c>
      <c r="D599" t="s">
        <v>20</v>
      </c>
      <c r="E599" t="s">
        <v>21</v>
      </c>
      <c r="F599" t="s">
        <v>31</v>
      </c>
      <c r="G599">
        <v>52.18</v>
      </c>
      <c r="H599">
        <v>7</v>
      </c>
      <c r="I599">
        <v>18.263000000000002</v>
      </c>
      <c r="J599">
        <v>383.52300000000002</v>
      </c>
      <c r="K599" s="1">
        <v>43533</v>
      </c>
      <c r="L599" s="2">
        <v>0.45416666666666666</v>
      </c>
      <c r="M599" t="s">
        <v>29</v>
      </c>
      <c r="N599">
        <v>365.26</v>
      </c>
      <c r="O599">
        <v>4.7619047620000003</v>
      </c>
      <c r="P599">
        <v>18.263000000000002</v>
      </c>
      <c r="Q599">
        <v>9.3000000000000007</v>
      </c>
      <c r="R599" s="3">
        <f t="shared" si="28"/>
        <v>43533.45416666667</v>
      </c>
      <c r="S599" t="str">
        <f t="shared" si="30"/>
        <v/>
      </c>
      <c r="T599" t="str">
        <f t="shared" si="29"/>
        <v/>
      </c>
    </row>
    <row r="600" spans="1:20">
      <c r="A600" t="s">
        <v>469</v>
      </c>
      <c r="B600" t="s">
        <v>41</v>
      </c>
      <c r="C600" t="s">
        <v>42</v>
      </c>
      <c r="D600" t="s">
        <v>27</v>
      </c>
      <c r="E600" t="s">
        <v>177</v>
      </c>
      <c r="F600" t="s">
        <v>45</v>
      </c>
      <c r="G600">
        <v>95.54</v>
      </c>
      <c r="H600">
        <v>7</v>
      </c>
      <c r="I600">
        <v>33.439</v>
      </c>
      <c r="J600">
        <v>702.21900000000005</v>
      </c>
      <c r="K600" s="1">
        <v>43533</v>
      </c>
      <c r="L600" s="2">
        <v>0.60833333333333328</v>
      </c>
      <c r="M600" t="s">
        <v>32</v>
      </c>
      <c r="N600">
        <v>668.78</v>
      </c>
      <c r="O600">
        <v>4.7619047620000003</v>
      </c>
      <c r="P600">
        <v>33.439</v>
      </c>
      <c r="Q600">
        <v>9.6</v>
      </c>
      <c r="R600" s="3">
        <f t="shared" si="28"/>
        <v>43533.60833333333</v>
      </c>
      <c r="S600">
        <f t="shared" si="30"/>
        <v>221.99999999022111</v>
      </c>
      <c r="T600">
        <f t="shared" si="29"/>
        <v>222</v>
      </c>
    </row>
    <row r="601" spans="1:20">
      <c r="A601" t="s">
        <v>159</v>
      </c>
      <c r="B601" t="s">
        <v>41</v>
      </c>
      <c r="C601" t="s">
        <v>42</v>
      </c>
      <c r="D601" t="s">
        <v>20</v>
      </c>
      <c r="E601" t="s">
        <v>21</v>
      </c>
      <c r="F601" t="s">
        <v>45</v>
      </c>
      <c r="G601">
        <v>56.47</v>
      </c>
      <c r="H601">
        <v>8</v>
      </c>
      <c r="I601">
        <v>22.588000000000001</v>
      </c>
      <c r="J601">
        <v>474.34800000000001</v>
      </c>
      <c r="K601" s="1">
        <v>43533</v>
      </c>
      <c r="L601" s="2">
        <v>0.62291666666666667</v>
      </c>
      <c r="M601" t="s">
        <v>23</v>
      </c>
      <c r="N601">
        <v>451.76</v>
      </c>
      <c r="O601">
        <v>4.7619047620000003</v>
      </c>
      <c r="P601">
        <v>22.588000000000001</v>
      </c>
      <c r="Q601">
        <v>7.3</v>
      </c>
      <c r="R601" s="3">
        <f t="shared" si="28"/>
        <v>43533.622916666667</v>
      </c>
      <c r="S601">
        <f t="shared" si="30"/>
        <v>21.000000005587935</v>
      </c>
      <c r="T601">
        <f t="shared" si="29"/>
        <v>21</v>
      </c>
    </row>
    <row r="602" spans="1:20">
      <c r="A602" t="s">
        <v>46</v>
      </c>
      <c r="B602" t="s">
        <v>41</v>
      </c>
      <c r="C602" t="s">
        <v>42</v>
      </c>
      <c r="D602" t="s">
        <v>20</v>
      </c>
      <c r="E602" t="s">
        <v>21</v>
      </c>
      <c r="F602" t="s">
        <v>28</v>
      </c>
      <c r="G602">
        <v>25.51</v>
      </c>
      <c r="H602">
        <v>4</v>
      </c>
      <c r="I602">
        <v>5.1020000000000003</v>
      </c>
      <c r="J602">
        <v>107.142</v>
      </c>
      <c r="K602" s="1">
        <v>43533</v>
      </c>
      <c r="L602" s="2">
        <v>0.7104166666666667</v>
      </c>
      <c r="M602" t="s">
        <v>29</v>
      </c>
      <c r="N602">
        <v>102.04</v>
      </c>
      <c r="O602">
        <v>4.7619047620000003</v>
      </c>
      <c r="P602">
        <v>5.1020000000000003</v>
      </c>
      <c r="Q602">
        <v>6.8</v>
      </c>
      <c r="R602" s="3">
        <f t="shared" si="28"/>
        <v>43533.710416666669</v>
      </c>
      <c r="S602">
        <f t="shared" si="30"/>
        <v>126.00000000209548</v>
      </c>
      <c r="T602">
        <f t="shared" si="29"/>
        <v>126</v>
      </c>
    </row>
    <row r="603" spans="1:20">
      <c r="A603" t="s">
        <v>157</v>
      </c>
      <c r="B603" t="s">
        <v>41</v>
      </c>
      <c r="C603" t="s">
        <v>42</v>
      </c>
      <c r="D603" t="s">
        <v>20</v>
      </c>
      <c r="E603" t="s">
        <v>21</v>
      </c>
      <c r="F603" t="s">
        <v>35</v>
      </c>
      <c r="G603">
        <v>99.96</v>
      </c>
      <c r="H603">
        <v>9</v>
      </c>
      <c r="I603">
        <v>44.981999999999999</v>
      </c>
      <c r="J603">
        <v>944.62199999999996</v>
      </c>
      <c r="K603" s="1">
        <v>43533</v>
      </c>
      <c r="L603" s="2">
        <v>0.72638888888888886</v>
      </c>
      <c r="M603" t="s">
        <v>32</v>
      </c>
      <c r="N603">
        <v>899.64</v>
      </c>
      <c r="O603">
        <v>4.7619047620000003</v>
      </c>
      <c r="P603">
        <v>44.981999999999999</v>
      </c>
      <c r="Q603">
        <v>4.2</v>
      </c>
      <c r="R603" s="3">
        <f t="shared" si="28"/>
        <v>43533.726388888892</v>
      </c>
      <c r="S603">
        <f t="shared" si="30"/>
        <v>23.000000001629815</v>
      </c>
      <c r="T603">
        <f t="shared" si="29"/>
        <v>23</v>
      </c>
    </row>
    <row r="604" spans="1:20">
      <c r="A604" t="s">
        <v>80</v>
      </c>
      <c r="B604" t="s">
        <v>41</v>
      </c>
      <c r="C604" t="s">
        <v>42</v>
      </c>
      <c r="D604" t="s">
        <v>20</v>
      </c>
      <c r="E604" t="s">
        <v>21</v>
      </c>
      <c r="F604" t="s">
        <v>28</v>
      </c>
      <c r="G604">
        <v>93.96</v>
      </c>
      <c r="H604">
        <v>4</v>
      </c>
      <c r="I604">
        <v>18.792000000000002</v>
      </c>
      <c r="J604">
        <v>394.63200000000001</v>
      </c>
      <c r="K604" s="1">
        <v>43533</v>
      </c>
      <c r="L604" s="2">
        <v>0.75</v>
      </c>
      <c r="M604" t="s">
        <v>29</v>
      </c>
      <c r="N604">
        <v>375.84</v>
      </c>
      <c r="O604">
        <v>4.7619047620000003</v>
      </c>
      <c r="P604">
        <v>18.792000000000002</v>
      </c>
      <c r="Q604">
        <v>9.5</v>
      </c>
      <c r="R604" s="3">
        <f t="shared" si="28"/>
        <v>43533.75</v>
      </c>
      <c r="S604">
        <f t="shared" si="30"/>
        <v>33.999999995576218</v>
      </c>
      <c r="T604">
        <f t="shared" si="29"/>
        <v>34</v>
      </c>
    </row>
    <row r="605" spans="1:20" hidden="1">
      <c r="A605" t="s">
        <v>425</v>
      </c>
      <c r="B605" t="s">
        <v>41</v>
      </c>
      <c r="C605" t="s">
        <v>42</v>
      </c>
      <c r="D605" t="s">
        <v>27</v>
      </c>
      <c r="E605" t="s">
        <v>177</v>
      </c>
      <c r="F605" t="s">
        <v>43</v>
      </c>
      <c r="G605">
        <v>18.22</v>
      </c>
      <c r="H605">
        <v>7</v>
      </c>
      <c r="I605">
        <v>6.3769999999999998</v>
      </c>
      <c r="J605">
        <v>133.917</v>
      </c>
      <c r="K605" s="1">
        <v>43534</v>
      </c>
      <c r="L605" s="2">
        <v>0.58611111111111114</v>
      </c>
      <c r="M605" t="s">
        <v>32</v>
      </c>
      <c r="N605">
        <v>127.54</v>
      </c>
      <c r="O605">
        <v>4.7619047620000003</v>
      </c>
      <c r="P605">
        <v>6.3769999999999998</v>
      </c>
      <c r="Q605">
        <v>6.6</v>
      </c>
      <c r="R605" s="3">
        <f t="shared" si="28"/>
        <v>43534.586111111108</v>
      </c>
      <c r="S605" t="str">
        <f t="shared" si="30"/>
        <v/>
      </c>
      <c r="T605" t="str">
        <f t="shared" si="29"/>
        <v/>
      </c>
    </row>
    <row r="606" spans="1:20">
      <c r="A606" t="s">
        <v>1014</v>
      </c>
      <c r="B606" t="s">
        <v>41</v>
      </c>
      <c r="C606" t="s">
        <v>42</v>
      </c>
      <c r="D606" t="s">
        <v>27</v>
      </c>
      <c r="E606" t="s">
        <v>21</v>
      </c>
      <c r="F606" t="s">
        <v>28</v>
      </c>
      <c r="G606">
        <v>25.45</v>
      </c>
      <c r="H606">
        <v>1</v>
      </c>
      <c r="I606">
        <v>1.2725</v>
      </c>
      <c r="J606">
        <v>26.7225</v>
      </c>
      <c r="K606" s="1">
        <v>43534</v>
      </c>
      <c r="L606" s="2">
        <v>0.75694444444444442</v>
      </c>
      <c r="M606" t="s">
        <v>32</v>
      </c>
      <c r="N606">
        <v>25.45</v>
      </c>
      <c r="O606">
        <v>4.7619047620000003</v>
      </c>
      <c r="P606">
        <v>1.2725</v>
      </c>
      <c r="Q606">
        <v>5.0999999999999996</v>
      </c>
      <c r="R606" s="3">
        <f t="shared" si="28"/>
        <v>43534.756944444445</v>
      </c>
      <c r="S606">
        <f t="shared" si="30"/>
        <v>246.00000000558794</v>
      </c>
      <c r="T606">
        <f t="shared" si="29"/>
        <v>246</v>
      </c>
    </row>
    <row r="607" spans="1:20">
      <c r="A607" t="s">
        <v>255</v>
      </c>
      <c r="B607" t="s">
        <v>41</v>
      </c>
      <c r="C607" t="s">
        <v>42</v>
      </c>
      <c r="D607" t="s">
        <v>27</v>
      </c>
      <c r="E607" t="s">
        <v>21</v>
      </c>
      <c r="F607" t="s">
        <v>43</v>
      </c>
      <c r="G607">
        <v>57.34</v>
      </c>
      <c r="H607">
        <v>3</v>
      </c>
      <c r="I607">
        <v>8.6010000000000009</v>
      </c>
      <c r="J607">
        <v>180.62100000000001</v>
      </c>
      <c r="K607" s="1">
        <v>43534</v>
      </c>
      <c r="L607" s="2">
        <v>0.79097222222222219</v>
      </c>
      <c r="M607" t="s">
        <v>32</v>
      </c>
      <c r="N607">
        <v>172.02</v>
      </c>
      <c r="O607">
        <v>4.7619047620000003</v>
      </c>
      <c r="P607">
        <v>8.6010000000000009</v>
      </c>
      <c r="Q607">
        <v>7.9</v>
      </c>
      <c r="R607" s="3">
        <f t="shared" si="28"/>
        <v>43534.790972222225</v>
      </c>
      <c r="S607">
        <f t="shared" si="30"/>
        <v>49.000000002561137</v>
      </c>
      <c r="T607">
        <f t="shared" si="29"/>
        <v>49</v>
      </c>
    </row>
    <row r="608" spans="1:20" hidden="1">
      <c r="A608" t="s">
        <v>54</v>
      </c>
      <c r="B608" t="s">
        <v>41</v>
      </c>
      <c r="C608" t="s">
        <v>42</v>
      </c>
      <c r="D608" t="s">
        <v>20</v>
      </c>
      <c r="E608" t="s">
        <v>21</v>
      </c>
      <c r="F608" t="s">
        <v>31</v>
      </c>
      <c r="G608">
        <v>40.299999999999997</v>
      </c>
      <c r="H608">
        <v>2</v>
      </c>
      <c r="I608">
        <v>4.03</v>
      </c>
      <c r="J608">
        <v>84.63</v>
      </c>
      <c r="K608" s="1">
        <v>43535</v>
      </c>
      <c r="L608" s="2">
        <v>0.64583333333333337</v>
      </c>
      <c r="M608" t="s">
        <v>23</v>
      </c>
      <c r="N608">
        <v>80.599999999999994</v>
      </c>
      <c r="O608">
        <v>4.7619047620000003</v>
      </c>
      <c r="P608">
        <v>4.03</v>
      </c>
      <c r="Q608">
        <v>4.4000000000000004</v>
      </c>
      <c r="R608" s="3">
        <f t="shared" si="28"/>
        <v>43535.645833333336</v>
      </c>
      <c r="S608" t="str">
        <f t="shared" si="30"/>
        <v/>
      </c>
      <c r="T608" t="str">
        <f t="shared" si="29"/>
        <v/>
      </c>
    </row>
    <row r="609" spans="1:20">
      <c r="A609" t="s">
        <v>250</v>
      </c>
      <c r="B609" t="s">
        <v>41</v>
      </c>
      <c r="C609" t="s">
        <v>42</v>
      </c>
      <c r="D609" t="s">
        <v>20</v>
      </c>
      <c r="E609" t="s">
        <v>21</v>
      </c>
      <c r="F609" t="s">
        <v>35</v>
      </c>
      <c r="G609">
        <v>29.61</v>
      </c>
      <c r="H609">
        <v>7</v>
      </c>
      <c r="I609">
        <v>10.3635</v>
      </c>
      <c r="J609">
        <v>217.6335</v>
      </c>
      <c r="K609" s="1">
        <v>43535</v>
      </c>
      <c r="L609" s="2">
        <v>0.66180555555555554</v>
      </c>
      <c r="M609" t="s">
        <v>29</v>
      </c>
      <c r="N609">
        <v>207.27</v>
      </c>
      <c r="O609">
        <v>4.7619047620000003</v>
      </c>
      <c r="P609">
        <v>10.3635</v>
      </c>
      <c r="Q609">
        <v>6.5</v>
      </c>
      <c r="R609" s="3">
        <f t="shared" si="28"/>
        <v>43535.661805555559</v>
      </c>
      <c r="S609">
        <f t="shared" si="30"/>
        <v>23.000000001629815</v>
      </c>
      <c r="T609">
        <f t="shared" si="29"/>
        <v>23</v>
      </c>
    </row>
    <row r="610" spans="1:20">
      <c r="A610" t="s">
        <v>1005</v>
      </c>
      <c r="B610" t="s">
        <v>41</v>
      </c>
      <c r="C610" t="s">
        <v>42</v>
      </c>
      <c r="D610" t="s">
        <v>20</v>
      </c>
      <c r="E610" t="s">
        <v>21</v>
      </c>
      <c r="F610" t="s">
        <v>28</v>
      </c>
      <c r="G610">
        <v>34.49</v>
      </c>
      <c r="H610">
        <v>5</v>
      </c>
      <c r="I610">
        <v>8.6225000000000005</v>
      </c>
      <c r="J610">
        <v>181.07249999999999</v>
      </c>
      <c r="K610" s="1">
        <v>43535</v>
      </c>
      <c r="L610" s="2">
        <v>0.82222222222222219</v>
      </c>
      <c r="M610" t="s">
        <v>32</v>
      </c>
      <c r="N610">
        <v>172.45</v>
      </c>
      <c r="O610">
        <v>4.7619047620000003</v>
      </c>
      <c r="P610">
        <v>8.6225000000000005</v>
      </c>
      <c r="Q610">
        <v>9</v>
      </c>
      <c r="R610" s="3">
        <f t="shared" si="28"/>
        <v>43535.822222222225</v>
      </c>
      <c r="S610">
        <f t="shared" si="30"/>
        <v>230.99999999860302</v>
      </c>
      <c r="T610">
        <f t="shared" si="29"/>
        <v>231</v>
      </c>
    </row>
    <row r="611" spans="1:20" hidden="1">
      <c r="A611" t="s">
        <v>870</v>
      </c>
      <c r="B611" t="s">
        <v>41</v>
      </c>
      <c r="C611" t="s">
        <v>42</v>
      </c>
      <c r="D611" t="s">
        <v>20</v>
      </c>
      <c r="E611" t="s">
        <v>21</v>
      </c>
      <c r="F611" t="s">
        <v>31</v>
      </c>
      <c r="G611">
        <v>40.729999999999997</v>
      </c>
      <c r="H611">
        <v>7</v>
      </c>
      <c r="I611">
        <v>14.2555</v>
      </c>
      <c r="J611">
        <v>299.3655</v>
      </c>
      <c r="K611" s="1">
        <v>43536</v>
      </c>
      <c r="L611" s="2">
        <v>0.45902777777777776</v>
      </c>
      <c r="M611" t="s">
        <v>23</v>
      </c>
      <c r="N611">
        <v>285.11</v>
      </c>
      <c r="O611">
        <v>4.7619047620000003</v>
      </c>
      <c r="P611">
        <v>14.2555</v>
      </c>
      <c r="Q611">
        <v>5.4</v>
      </c>
      <c r="R611" s="3">
        <f t="shared" si="28"/>
        <v>43536.459027777775</v>
      </c>
      <c r="S611" t="str">
        <f t="shared" si="30"/>
        <v/>
      </c>
      <c r="T611" t="str">
        <f t="shared" si="29"/>
        <v/>
      </c>
    </row>
    <row r="612" spans="1:20">
      <c r="A612" t="s">
        <v>128</v>
      </c>
      <c r="B612" t="s">
        <v>41</v>
      </c>
      <c r="C612" t="s">
        <v>42</v>
      </c>
      <c r="D612" t="s">
        <v>20</v>
      </c>
      <c r="E612" t="s">
        <v>21</v>
      </c>
      <c r="F612" t="s">
        <v>22</v>
      </c>
      <c r="G612">
        <v>64.36</v>
      </c>
      <c r="H612">
        <v>9</v>
      </c>
      <c r="I612">
        <v>28.962</v>
      </c>
      <c r="J612">
        <v>608.202</v>
      </c>
      <c r="K612" s="1">
        <v>43536</v>
      </c>
      <c r="L612" s="2">
        <v>0.50624999999999998</v>
      </c>
      <c r="M612" t="s">
        <v>32</v>
      </c>
      <c r="N612">
        <v>579.24</v>
      </c>
      <c r="O612">
        <v>4.7619047620000003</v>
      </c>
      <c r="P612">
        <v>28.962</v>
      </c>
      <c r="Q612">
        <v>8.6</v>
      </c>
      <c r="R612" s="3">
        <f t="shared" si="28"/>
        <v>43536.506249999999</v>
      </c>
      <c r="S612">
        <f t="shared" si="30"/>
        <v>68.000000001629815</v>
      </c>
      <c r="T612">
        <f t="shared" si="29"/>
        <v>68</v>
      </c>
    </row>
    <row r="613" spans="1:20">
      <c r="A613" t="s">
        <v>267</v>
      </c>
      <c r="B613" t="s">
        <v>41</v>
      </c>
      <c r="C613" t="s">
        <v>42</v>
      </c>
      <c r="D613" t="s">
        <v>20</v>
      </c>
      <c r="E613" t="s">
        <v>21</v>
      </c>
      <c r="F613" t="s">
        <v>28</v>
      </c>
      <c r="G613">
        <v>10.59</v>
      </c>
      <c r="H613">
        <v>3</v>
      </c>
      <c r="I613">
        <v>1.5885</v>
      </c>
      <c r="J613">
        <v>33.358499999999999</v>
      </c>
      <c r="K613" s="1">
        <v>43536</v>
      </c>
      <c r="L613" s="2">
        <v>0.57777777777777772</v>
      </c>
      <c r="M613" t="s">
        <v>32</v>
      </c>
      <c r="N613">
        <v>31.77</v>
      </c>
      <c r="O613">
        <v>4.7619047620000003</v>
      </c>
      <c r="P613">
        <v>1.5885</v>
      </c>
      <c r="Q613">
        <v>8.6999999999999993</v>
      </c>
      <c r="R613" s="3">
        <f t="shared" si="28"/>
        <v>43536.577777777777</v>
      </c>
      <c r="S613">
        <f t="shared" si="30"/>
        <v>103.00000000046566</v>
      </c>
      <c r="T613">
        <f t="shared" si="29"/>
        <v>103</v>
      </c>
    </row>
    <row r="614" spans="1:20">
      <c r="A614" t="s">
        <v>337</v>
      </c>
      <c r="B614" t="s">
        <v>41</v>
      </c>
      <c r="C614" t="s">
        <v>42</v>
      </c>
      <c r="D614" t="s">
        <v>20</v>
      </c>
      <c r="E614" t="s">
        <v>177</v>
      </c>
      <c r="F614" t="s">
        <v>22</v>
      </c>
      <c r="G614">
        <v>39.01</v>
      </c>
      <c r="H614">
        <v>1</v>
      </c>
      <c r="I614">
        <v>1.9504999999999999</v>
      </c>
      <c r="J614">
        <v>40.960500000000003</v>
      </c>
      <c r="K614" s="1">
        <v>43536</v>
      </c>
      <c r="L614" s="2">
        <v>0.69861111111111107</v>
      </c>
      <c r="M614" t="s">
        <v>32</v>
      </c>
      <c r="N614">
        <v>39.01</v>
      </c>
      <c r="O614">
        <v>4.7619047620000003</v>
      </c>
      <c r="P614">
        <v>1.9504999999999999</v>
      </c>
      <c r="Q614">
        <v>4.7</v>
      </c>
      <c r="R614" s="3">
        <f t="shared" si="28"/>
        <v>43536.698611111111</v>
      </c>
      <c r="S614">
        <f t="shared" si="30"/>
        <v>174.00000000139698</v>
      </c>
      <c r="T614">
        <f t="shared" si="29"/>
        <v>174</v>
      </c>
    </row>
    <row r="615" spans="1:20">
      <c r="A615" t="s">
        <v>361</v>
      </c>
      <c r="B615" t="s">
        <v>41</v>
      </c>
      <c r="C615" t="s">
        <v>42</v>
      </c>
      <c r="D615" t="s">
        <v>27</v>
      </c>
      <c r="E615" t="s">
        <v>177</v>
      </c>
      <c r="F615" t="s">
        <v>35</v>
      </c>
      <c r="G615">
        <v>97.74</v>
      </c>
      <c r="H615">
        <v>4</v>
      </c>
      <c r="I615">
        <v>19.547999999999998</v>
      </c>
      <c r="J615">
        <v>410.50799999999998</v>
      </c>
      <c r="K615" s="1">
        <v>43536</v>
      </c>
      <c r="L615" s="2">
        <v>0.82847222222222228</v>
      </c>
      <c r="M615" t="s">
        <v>23</v>
      </c>
      <c r="N615">
        <v>390.96</v>
      </c>
      <c r="O615">
        <v>4.7619047620000003</v>
      </c>
      <c r="P615">
        <v>19.547999999999998</v>
      </c>
      <c r="Q615">
        <v>6.4</v>
      </c>
      <c r="R615" s="3">
        <f t="shared" si="28"/>
        <v>43536.828472222223</v>
      </c>
      <c r="S615">
        <f t="shared" si="30"/>
        <v>187.00000000186265</v>
      </c>
      <c r="T615">
        <f t="shared" si="29"/>
        <v>187</v>
      </c>
    </row>
    <row r="616" spans="1:20" hidden="1">
      <c r="A616" t="s">
        <v>330</v>
      </c>
      <c r="B616" t="s">
        <v>41</v>
      </c>
      <c r="C616" t="s">
        <v>42</v>
      </c>
      <c r="D616" t="s">
        <v>27</v>
      </c>
      <c r="E616" t="s">
        <v>177</v>
      </c>
      <c r="F616" t="s">
        <v>22</v>
      </c>
      <c r="G616">
        <v>18.11</v>
      </c>
      <c r="H616">
        <v>10</v>
      </c>
      <c r="I616">
        <v>9.0549999999999997</v>
      </c>
      <c r="J616">
        <v>190.155</v>
      </c>
      <c r="K616" s="1">
        <v>43537</v>
      </c>
      <c r="L616" s="2">
        <v>0.49027777777777776</v>
      </c>
      <c r="M616" t="s">
        <v>23</v>
      </c>
      <c r="N616">
        <v>181.1</v>
      </c>
      <c r="O616">
        <v>4.7619047620000003</v>
      </c>
      <c r="P616">
        <v>9.0549999999999997</v>
      </c>
      <c r="Q616">
        <v>5.9</v>
      </c>
      <c r="R616" s="3">
        <f t="shared" si="28"/>
        <v>43537.490277777775</v>
      </c>
      <c r="S616" t="str">
        <f t="shared" si="30"/>
        <v/>
      </c>
      <c r="T616" t="str">
        <f t="shared" si="29"/>
        <v/>
      </c>
    </row>
    <row r="617" spans="1:20">
      <c r="A617" t="s">
        <v>298</v>
      </c>
      <c r="B617" t="s">
        <v>41</v>
      </c>
      <c r="C617" t="s">
        <v>42</v>
      </c>
      <c r="D617" t="s">
        <v>20</v>
      </c>
      <c r="E617" t="s">
        <v>21</v>
      </c>
      <c r="F617" t="s">
        <v>45</v>
      </c>
      <c r="G617">
        <v>38.299999999999997</v>
      </c>
      <c r="H617">
        <v>4</v>
      </c>
      <c r="I617">
        <v>7.66</v>
      </c>
      <c r="J617">
        <v>160.86000000000001</v>
      </c>
      <c r="K617" s="1">
        <v>43537</v>
      </c>
      <c r="L617" s="2">
        <v>0.80694444444444446</v>
      </c>
      <c r="M617" t="s">
        <v>29</v>
      </c>
      <c r="N617">
        <v>153.19999999999999</v>
      </c>
      <c r="O617">
        <v>4.7619047620000003</v>
      </c>
      <c r="P617">
        <v>7.66</v>
      </c>
      <c r="Q617">
        <v>5.7</v>
      </c>
      <c r="R617" s="3">
        <f t="shared" si="28"/>
        <v>43537.806944444441</v>
      </c>
      <c r="S617">
        <f t="shared" si="30"/>
        <v>455.99999999860302</v>
      </c>
      <c r="T617">
        <f t="shared" si="29"/>
        <v>456</v>
      </c>
    </row>
    <row r="618" spans="1:20">
      <c r="A618" t="s">
        <v>526</v>
      </c>
      <c r="B618" t="s">
        <v>41</v>
      </c>
      <c r="C618" t="s">
        <v>42</v>
      </c>
      <c r="D618" t="s">
        <v>27</v>
      </c>
      <c r="E618" t="s">
        <v>21</v>
      </c>
      <c r="F618" t="s">
        <v>45</v>
      </c>
      <c r="G618">
        <v>34.700000000000003</v>
      </c>
      <c r="H618">
        <v>2</v>
      </c>
      <c r="I618">
        <v>3.47</v>
      </c>
      <c r="J618">
        <v>72.87</v>
      </c>
      <c r="K618" s="1">
        <v>43537</v>
      </c>
      <c r="L618" s="2">
        <v>0.82499999999999996</v>
      </c>
      <c r="M618" t="s">
        <v>23</v>
      </c>
      <c r="N618">
        <v>69.400000000000006</v>
      </c>
      <c r="O618">
        <v>4.7619047620000003</v>
      </c>
      <c r="P618">
        <v>3.47</v>
      </c>
      <c r="Q618">
        <v>8.1999999999999993</v>
      </c>
      <c r="R618" s="3">
        <f t="shared" si="28"/>
        <v>43537.824999999997</v>
      </c>
      <c r="S618">
        <f t="shared" si="30"/>
        <v>26.000000000931323</v>
      </c>
      <c r="T618">
        <f t="shared" si="29"/>
        <v>26</v>
      </c>
    </row>
    <row r="619" spans="1:20" hidden="1">
      <c r="A619" t="s">
        <v>786</v>
      </c>
      <c r="B619" t="s">
        <v>41</v>
      </c>
      <c r="C619" t="s">
        <v>42</v>
      </c>
      <c r="D619" t="s">
        <v>20</v>
      </c>
      <c r="E619" t="s">
        <v>21</v>
      </c>
      <c r="F619" t="s">
        <v>45</v>
      </c>
      <c r="G619">
        <v>22.32</v>
      </c>
      <c r="H619">
        <v>4</v>
      </c>
      <c r="I619">
        <v>4.4640000000000004</v>
      </c>
      <c r="J619">
        <v>93.744</v>
      </c>
      <c r="K619" s="1">
        <v>43538</v>
      </c>
      <c r="L619" s="2">
        <v>0.46944444444444444</v>
      </c>
      <c r="M619" t="s">
        <v>23</v>
      </c>
      <c r="N619">
        <v>89.28</v>
      </c>
      <c r="O619">
        <v>4.7619047620000003</v>
      </c>
      <c r="P619">
        <v>4.4640000000000004</v>
      </c>
      <c r="Q619">
        <v>4.0999999999999996</v>
      </c>
      <c r="R619" s="3">
        <f t="shared" si="28"/>
        <v>43538.469444444447</v>
      </c>
      <c r="S619" t="str">
        <f t="shared" si="30"/>
        <v/>
      </c>
      <c r="T619" t="str">
        <f t="shared" si="29"/>
        <v/>
      </c>
    </row>
    <row r="620" spans="1:20">
      <c r="A620" t="s">
        <v>596</v>
      </c>
      <c r="B620" t="s">
        <v>41</v>
      </c>
      <c r="C620" t="s">
        <v>42</v>
      </c>
      <c r="D620" t="s">
        <v>27</v>
      </c>
      <c r="E620" t="s">
        <v>177</v>
      </c>
      <c r="F620" t="s">
        <v>28</v>
      </c>
      <c r="G620">
        <v>21.58</v>
      </c>
      <c r="H620">
        <v>9</v>
      </c>
      <c r="I620">
        <v>9.7110000000000003</v>
      </c>
      <c r="J620">
        <v>203.93100000000001</v>
      </c>
      <c r="K620" s="1">
        <v>43538</v>
      </c>
      <c r="L620" s="2">
        <v>0.52222222222222225</v>
      </c>
      <c r="M620" t="s">
        <v>29</v>
      </c>
      <c r="N620">
        <v>194.22</v>
      </c>
      <c r="O620">
        <v>4.7619047620000003</v>
      </c>
      <c r="P620">
        <v>9.7110000000000003</v>
      </c>
      <c r="Q620">
        <v>7.3</v>
      </c>
      <c r="R620" s="3">
        <f t="shared" si="28"/>
        <v>43538.522222222222</v>
      </c>
      <c r="S620">
        <f t="shared" si="30"/>
        <v>75.99999999627471</v>
      </c>
      <c r="T620">
        <f t="shared" si="29"/>
        <v>76</v>
      </c>
    </row>
    <row r="621" spans="1:20">
      <c r="A621" t="s">
        <v>663</v>
      </c>
      <c r="B621" t="s">
        <v>41</v>
      </c>
      <c r="C621" t="s">
        <v>42</v>
      </c>
      <c r="D621" t="s">
        <v>20</v>
      </c>
      <c r="E621" t="s">
        <v>177</v>
      </c>
      <c r="F621" t="s">
        <v>22</v>
      </c>
      <c r="G621">
        <v>82.58</v>
      </c>
      <c r="H621">
        <v>10</v>
      </c>
      <c r="I621">
        <v>41.29</v>
      </c>
      <c r="J621">
        <v>867.09</v>
      </c>
      <c r="K621" s="1">
        <v>43538</v>
      </c>
      <c r="L621" s="2">
        <v>0.6118055555555556</v>
      </c>
      <c r="M621" t="s">
        <v>29</v>
      </c>
      <c r="N621">
        <v>825.8</v>
      </c>
      <c r="O621">
        <v>4.7619047620000003</v>
      </c>
      <c r="P621">
        <v>41.29</v>
      </c>
      <c r="Q621">
        <v>5</v>
      </c>
      <c r="R621" s="3">
        <f t="shared" si="28"/>
        <v>43538.611805555556</v>
      </c>
      <c r="S621">
        <f t="shared" si="30"/>
        <v>129.00000000139698</v>
      </c>
      <c r="T621">
        <f t="shared" si="29"/>
        <v>129</v>
      </c>
    </row>
    <row r="622" spans="1:20">
      <c r="A622" t="s">
        <v>851</v>
      </c>
      <c r="B622" t="s">
        <v>41</v>
      </c>
      <c r="C622" t="s">
        <v>42</v>
      </c>
      <c r="D622" t="s">
        <v>27</v>
      </c>
      <c r="E622" t="s">
        <v>21</v>
      </c>
      <c r="F622" t="s">
        <v>43</v>
      </c>
      <c r="G622">
        <v>53.21</v>
      </c>
      <c r="H622">
        <v>8</v>
      </c>
      <c r="I622">
        <v>21.283999999999999</v>
      </c>
      <c r="J622">
        <v>446.964</v>
      </c>
      <c r="K622" s="1">
        <v>43538</v>
      </c>
      <c r="L622" s="2">
        <v>0.69791666666666663</v>
      </c>
      <c r="M622" t="s">
        <v>23</v>
      </c>
      <c r="N622">
        <v>425.68</v>
      </c>
      <c r="O622">
        <v>4.7619047620000003</v>
      </c>
      <c r="P622">
        <v>21.283999999999999</v>
      </c>
      <c r="Q622">
        <v>5</v>
      </c>
      <c r="R622" s="3">
        <f t="shared" si="28"/>
        <v>43538.697916666664</v>
      </c>
      <c r="S622">
        <f t="shared" si="30"/>
        <v>123.99999999557622</v>
      </c>
      <c r="T622">
        <f t="shared" si="29"/>
        <v>124</v>
      </c>
    </row>
    <row r="623" spans="1:20">
      <c r="A623" t="s">
        <v>388</v>
      </c>
      <c r="B623" t="s">
        <v>41</v>
      </c>
      <c r="C623" t="s">
        <v>42</v>
      </c>
      <c r="D623" t="s">
        <v>20</v>
      </c>
      <c r="E623" t="s">
        <v>21</v>
      </c>
      <c r="F623" t="s">
        <v>45</v>
      </c>
      <c r="G623">
        <v>54.73</v>
      </c>
      <c r="H623">
        <v>7</v>
      </c>
      <c r="I623">
        <v>19.1555</v>
      </c>
      <c r="J623">
        <v>402.26549999999997</v>
      </c>
      <c r="K623" s="1">
        <v>43538</v>
      </c>
      <c r="L623" s="2">
        <v>0.79305555555555551</v>
      </c>
      <c r="M623" t="s">
        <v>32</v>
      </c>
      <c r="N623">
        <v>383.11</v>
      </c>
      <c r="O623">
        <v>4.7619047620000003</v>
      </c>
      <c r="P623">
        <v>19.1555</v>
      </c>
      <c r="Q623">
        <v>8.5</v>
      </c>
      <c r="R623" s="3">
        <f t="shared" si="28"/>
        <v>43538.793055555558</v>
      </c>
      <c r="S623">
        <f t="shared" si="30"/>
        <v>137.00000000651926</v>
      </c>
      <c r="T623">
        <f t="shared" si="29"/>
        <v>137</v>
      </c>
    </row>
    <row r="624" spans="1:20" hidden="1">
      <c r="A624" t="s">
        <v>433</v>
      </c>
      <c r="B624" t="s">
        <v>41</v>
      </c>
      <c r="C624" t="s">
        <v>42</v>
      </c>
      <c r="D624" t="s">
        <v>27</v>
      </c>
      <c r="E624" t="s">
        <v>177</v>
      </c>
      <c r="F624" t="s">
        <v>31</v>
      </c>
      <c r="G624">
        <v>13.59</v>
      </c>
      <c r="H624">
        <v>9</v>
      </c>
      <c r="I624">
        <v>6.1154999999999999</v>
      </c>
      <c r="J624">
        <v>128.4255</v>
      </c>
      <c r="K624" s="1">
        <v>43539</v>
      </c>
      <c r="L624" s="2">
        <v>0.43472222222222223</v>
      </c>
      <c r="M624" t="s">
        <v>29</v>
      </c>
      <c r="N624">
        <v>122.31</v>
      </c>
      <c r="O624">
        <v>4.7619047620000003</v>
      </c>
      <c r="P624">
        <v>6.1154999999999999</v>
      </c>
      <c r="Q624">
        <v>5.8</v>
      </c>
      <c r="R624" s="3">
        <f t="shared" si="28"/>
        <v>43539.43472222222</v>
      </c>
      <c r="S624" t="str">
        <f t="shared" si="30"/>
        <v/>
      </c>
      <c r="T624" t="str">
        <f t="shared" si="29"/>
        <v/>
      </c>
    </row>
    <row r="625" spans="1:20">
      <c r="A625" t="s">
        <v>834</v>
      </c>
      <c r="B625" t="s">
        <v>41</v>
      </c>
      <c r="C625" t="s">
        <v>42</v>
      </c>
      <c r="D625" t="s">
        <v>27</v>
      </c>
      <c r="E625" t="s">
        <v>177</v>
      </c>
      <c r="F625" t="s">
        <v>22</v>
      </c>
      <c r="G625">
        <v>92.78</v>
      </c>
      <c r="H625">
        <v>1</v>
      </c>
      <c r="I625">
        <v>4.6390000000000002</v>
      </c>
      <c r="J625">
        <v>97.418999999999997</v>
      </c>
      <c r="K625" s="1">
        <v>43539</v>
      </c>
      <c r="L625" s="2">
        <v>0.4513888888888889</v>
      </c>
      <c r="M625" t="s">
        <v>32</v>
      </c>
      <c r="N625">
        <v>92.78</v>
      </c>
      <c r="O625">
        <v>4.7619047620000003</v>
      </c>
      <c r="P625">
        <v>4.6390000000000002</v>
      </c>
      <c r="Q625">
        <v>9.8000000000000007</v>
      </c>
      <c r="R625" s="3">
        <f t="shared" si="28"/>
        <v>43539.451388888891</v>
      </c>
      <c r="S625">
        <f t="shared" si="30"/>
        <v>24.000000004889444</v>
      </c>
      <c r="T625">
        <f t="shared" si="29"/>
        <v>24</v>
      </c>
    </row>
    <row r="626" spans="1:20">
      <c r="A626" t="s">
        <v>237</v>
      </c>
      <c r="B626" t="s">
        <v>41</v>
      </c>
      <c r="C626" t="s">
        <v>42</v>
      </c>
      <c r="D626" t="s">
        <v>20</v>
      </c>
      <c r="E626" t="s">
        <v>21</v>
      </c>
      <c r="F626" t="s">
        <v>28</v>
      </c>
      <c r="G626">
        <v>57.49</v>
      </c>
      <c r="H626">
        <v>4</v>
      </c>
      <c r="I626">
        <v>11.497999999999999</v>
      </c>
      <c r="J626">
        <v>241.458</v>
      </c>
      <c r="K626" s="1">
        <v>43539</v>
      </c>
      <c r="L626" s="2">
        <v>0.49791666666666667</v>
      </c>
      <c r="M626" t="s">
        <v>29</v>
      </c>
      <c r="N626">
        <v>229.96</v>
      </c>
      <c r="O626">
        <v>4.7619047620000003</v>
      </c>
      <c r="P626">
        <v>11.497999999999999</v>
      </c>
      <c r="Q626">
        <v>6.6</v>
      </c>
      <c r="R626" s="3">
        <f t="shared" si="28"/>
        <v>43539.497916666667</v>
      </c>
      <c r="S626">
        <f t="shared" si="30"/>
        <v>66.999999998370185</v>
      </c>
      <c r="T626">
        <f t="shared" si="29"/>
        <v>67</v>
      </c>
    </row>
    <row r="627" spans="1:20">
      <c r="A627" t="s">
        <v>57</v>
      </c>
      <c r="B627" t="s">
        <v>41</v>
      </c>
      <c r="C627" t="s">
        <v>42</v>
      </c>
      <c r="D627" t="s">
        <v>20</v>
      </c>
      <c r="E627" t="s">
        <v>21</v>
      </c>
      <c r="F627" t="s">
        <v>31</v>
      </c>
      <c r="G627">
        <v>33.200000000000003</v>
      </c>
      <c r="H627">
        <v>2</v>
      </c>
      <c r="I627">
        <v>3.32</v>
      </c>
      <c r="J627">
        <v>69.72</v>
      </c>
      <c r="K627" s="1">
        <v>43539</v>
      </c>
      <c r="L627" s="2">
        <v>0.51388888888888884</v>
      </c>
      <c r="M627" t="s">
        <v>32</v>
      </c>
      <c r="N627">
        <v>66.400000000000006</v>
      </c>
      <c r="O627">
        <v>4.7619047620000003</v>
      </c>
      <c r="P627">
        <v>3.32</v>
      </c>
      <c r="Q627">
        <v>4.4000000000000004</v>
      </c>
      <c r="R627" s="3">
        <f t="shared" si="28"/>
        <v>43539.513888888891</v>
      </c>
      <c r="S627">
        <f t="shared" si="30"/>
        <v>23.000000001629815</v>
      </c>
      <c r="T627">
        <f t="shared" si="29"/>
        <v>23</v>
      </c>
    </row>
    <row r="628" spans="1:20">
      <c r="A628" t="s">
        <v>630</v>
      </c>
      <c r="B628" t="s">
        <v>41</v>
      </c>
      <c r="C628" t="s">
        <v>42</v>
      </c>
      <c r="D628" t="s">
        <v>20</v>
      </c>
      <c r="E628" t="s">
        <v>177</v>
      </c>
      <c r="F628" t="s">
        <v>35</v>
      </c>
      <c r="G628">
        <v>96.8</v>
      </c>
      <c r="H628">
        <v>3</v>
      </c>
      <c r="I628">
        <v>14.52</v>
      </c>
      <c r="J628">
        <v>304.92</v>
      </c>
      <c r="K628" s="1">
        <v>43539</v>
      </c>
      <c r="L628" s="2">
        <v>0.54513888888888884</v>
      </c>
      <c r="M628" t="s">
        <v>29</v>
      </c>
      <c r="N628">
        <v>290.39999999999998</v>
      </c>
      <c r="O628">
        <v>4.7619047620000003</v>
      </c>
      <c r="P628">
        <v>14.52</v>
      </c>
      <c r="Q628">
        <v>5.3</v>
      </c>
      <c r="R628" s="3">
        <f t="shared" si="28"/>
        <v>43539.545138888891</v>
      </c>
      <c r="S628">
        <f t="shared" si="30"/>
        <v>45</v>
      </c>
      <c r="T628">
        <f t="shared" si="29"/>
        <v>45</v>
      </c>
    </row>
    <row r="629" spans="1:20">
      <c r="A629" t="s">
        <v>846</v>
      </c>
      <c r="B629" t="s">
        <v>41</v>
      </c>
      <c r="C629" t="s">
        <v>42</v>
      </c>
      <c r="D629" t="s">
        <v>27</v>
      </c>
      <c r="E629" t="s">
        <v>177</v>
      </c>
      <c r="F629" t="s">
        <v>22</v>
      </c>
      <c r="G629">
        <v>10.75</v>
      </c>
      <c r="H629">
        <v>8</v>
      </c>
      <c r="I629">
        <v>4.3</v>
      </c>
      <c r="J629">
        <v>90.3</v>
      </c>
      <c r="K629" s="1">
        <v>43539</v>
      </c>
      <c r="L629" s="2">
        <v>0.60972222222222228</v>
      </c>
      <c r="M629" t="s">
        <v>23</v>
      </c>
      <c r="N629">
        <v>86</v>
      </c>
      <c r="O629">
        <v>4.7619047620000003</v>
      </c>
      <c r="P629">
        <v>4.3</v>
      </c>
      <c r="Q629">
        <v>6.2</v>
      </c>
      <c r="R629" s="3">
        <f t="shared" si="28"/>
        <v>43539.609722222223</v>
      </c>
      <c r="S629">
        <f t="shared" si="30"/>
        <v>92.999999999301508</v>
      </c>
      <c r="T629">
        <f t="shared" si="29"/>
        <v>93</v>
      </c>
    </row>
    <row r="630" spans="1:20">
      <c r="A630" t="s">
        <v>902</v>
      </c>
      <c r="B630" t="s">
        <v>41</v>
      </c>
      <c r="C630" t="s">
        <v>42</v>
      </c>
      <c r="D630" t="s">
        <v>20</v>
      </c>
      <c r="E630" t="s">
        <v>177</v>
      </c>
      <c r="F630" t="s">
        <v>35</v>
      </c>
      <c r="G630">
        <v>90.53</v>
      </c>
      <c r="H630">
        <v>8</v>
      </c>
      <c r="I630">
        <v>36.212000000000003</v>
      </c>
      <c r="J630">
        <v>760.452</v>
      </c>
      <c r="K630" s="1">
        <v>43539</v>
      </c>
      <c r="L630" s="2">
        <v>0.6166666666666667</v>
      </c>
      <c r="M630" t="s">
        <v>32</v>
      </c>
      <c r="N630">
        <v>724.24</v>
      </c>
      <c r="O630">
        <v>4.7619047620000003</v>
      </c>
      <c r="P630">
        <v>36.212000000000003</v>
      </c>
      <c r="Q630">
        <v>6.5</v>
      </c>
      <c r="R630" s="3">
        <f t="shared" si="28"/>
        <v>43539.616666666669</v>
      </c>
      <c r="S630">
        <f t="shared" si="30"/>
        <v>10.000000001164153</v>
      </c>
      <c r="T630">
        <f t="shared" si="29"/>
        <v>10</v>
      </c>
    </row>
    <row r="631" spans="1:20">
      <c r="A631" t="s">
        <v>831</v>
      </c>
      <c r="B631" t="s">
        <v>41</v>
      </c>
      <c r="C631" t="s">
        <v>42</v>
      </c>
      <c r="D631" t="s">
        <v>27</v>
      </c>
      <c r="E631" t="s">
        <v>177</v>
      </c>
      <c r="F631" t="s">
        <v>45</v>
      </c>
      <c r="G631">
        <v>27.18</v>
      </c>
      <c r="H631">
        <v>2</v>
      </c>
      <c r="I631">
        <v>2.718</v>
      </c>
      <c r="J631">
        <v>57.078000000000003</v>
      </c>
      <c r="K631" s="1">
        <v>43539</v>
      </c>
      <c r="L631" s="2">
        <v>0.68472222222222223</v>
      </c>
      <c r="M631" t="s">
        <v>23</v>
      </c>
      <c r="N631">
        <v>54.36</v>
      </c>
      <c r="O631">
        <v>4.7619047620000003</v>
      </c>
      <c r="P631">
        <v>2.718</v>
      </c>
      <c r="Q631">
        <v>4.3</v>
      </c>
      <c r="R631" s="3">
        <f t="shared" si="28"/>
        <v>43539.68472222222</v>
      </c>
      <c r="S631">
        <f t="shared" si="30"/>
        <v>97.999999994644895</v>
      </c>
      <c r="T631">
        <f t="shared" si="29"/>
        <v>98</v>
      </c>
    </row>
    <row r="632" spans="1:20" hidden="1">
      <c r="A632" t="s">
        <v>514</v>
      </c>
      <c r="B632" t="s">
        <v>41</v>
      </c>
      <c r="C632" t="s">
        <v>42</v>
      </c>
      <c r="D632" t="s">
        <v>27</v>
      </c>
      <c r="E632" t="s">
        <v>177</v>
      </c>
      <c r="F632" t="s">
        <v>35</v>
      </c>
      <c r="G632">
        <v>34.369999999999997</v>
      </c>
      <c r="H632">
        <v>10</v>
      </c>
      <c r="I632">
        <v>17.184999999999999</v>
      </c>
      <c r="J632">
        <v>360.88499999999999</v>
      </c>
      <c r="K632" s="1">
        <v>43540</v>
      </c>
      <c r="L632" s="2">
        <v>0.42430555555555555</v>
      </c>
      <c r="M632" t="s">
        <v>23</v>
      </c>
      <c r="N632">
        <v>343.7</v>
      </c>
      <c r="O632">
        <v>4.7619047620000003</v>
      </c>
      <c r="P632">
        <v>17.184999999999999</v>
      </c>
      <c r="Q632">
        <v>6.7</v>
      </c>
      <c r="R632" s="3">
        <f t="shared" si="28"/>
        <v>43540.424305555556</v>
      </c>
      <c r="S632" t="str">
        <f t="shared" si="30"/>
        <v/>
      </c>
      <c r="T632" t="str">
        <f t="shared" si="29"/>
        <v/>
      </c>
    </row>
    <row r="633" spans="1:20">
      <c r="A633" t="s">
        <v>395</v>
      </c>
      <c r="B633" t="s">
        <v>41</v>
      </c>
      <c r="C633" t="s">
        <v>42</v>
      </c>
      <c r="D633" t="s">
        <v>27</v>
      </c>
      <c r="E633" t="s">
        <v>177</v>
      </c>
      <c r="F633" t="s">
        <v>35</v>
      </c>
      <c r="G633">
        <v>74.97</v>
      </c>
      <c r="H633">
        <v>1</v>
      </c>
      <c r="I633">
        <v>3.7484999999999999</v>
      </c>
      <c r="J633">
        <v>78.718500000000006</v>
      </c>
      <c r="K633" s="1">
        <v>43540</v>
      </c>
      <c r="L633" s="2">
        <v>0.70694444444444449</v>
      </c>
      <c r="M633" t="s">
        <v>29</v>
      </c>
      <c r="N633">
        <v>74.97</v>
      </c>
      <c r="O633">
        <v>4.7619047620000003</v>
      </c>
      <c r="P633">
        <v>3.7484999999999999</v>
      </c>
      <c r="Q633">
        <v>5.6</v>
      </c>
      <c r="R633" s="3">
        <f t="shared" si="28"/>
        <v>43540.706944444442</v>
      </c>
      <c r="S633">
        <f t="shared" si="30"/>
        <v>406.99999999604188</v>
      </c>
      <c r="T633">
        <f t="shared" si="29"/>
        <v>407</v>
      </c>
    </row>
    <row r="634" spans="1:20">
      <c r="A634" t="s">
        <v>804</v>
      </c>
      <c r="B634" t="s">
        <v>41</v>
      </c>
      <c r="C634" t="s">
        <v>42</v>
      </c>
      <c r="D634" t="s">
        <v>27</v>
      </c>
      <c r="E634" t="s">
        <v>21</v>
      </c>
      <c r="F634" t="s">
        <v>28</v>
      </c>
      <c r="G634">
        <v>95.64</v>
      </c>
      <c r="H634">
        <v>4</v>
      </c>
      <c r="I634">
        <v>19.128</v>
      </c>
      <c r="J634">
        <v>401.68799999999999</v>
      </c>
      <c r="K634" s="1">
        <v>43540</v>
      </c>
      <c r="L634" s="2">
        <v>0.78541666666666665</v>
      </c>
      <c r="M634" t="s">
        <v>29</v>
      </c>
      <c r="N634">
        <v>382.56</v>
      </c>
      <c r="O634">
        <v>4.7619047620000003</v>
      </c>
      <c r="P634">
        <v>19.128</v>
      </c>
      <c r="Q634">
        <v>7.9</v>
      </c>
      <c r="R634" s="3">
        <f t="shared" si="28"/>
        <v>43540.785416666666</v>
      </c>
      <c r="S634">
        <f t="shared" si="30"/>
        <v>113.00000000162981</v>
      </c>
      <c r="T634">
        <f t="shared" si="29"/>
        <v>113</v>
      </c>
    </row>
    <row r="635" spans="1:20" hidden="1">
      <c r="A635" t="s">
        <v>898</v>
      </c>
      <c r="B635" t="s">
        <v>41</v>
      </c>
      <c r="C635" t="s">
        <v>42</v>
      </c>
      <c r="D635" t="s">
        <v>27</v>
      </c>
      <c r="E635" t="s">
        <v>21</v>
      </c>
      <c r="F635" t="s">
        <v>31</v>
      </c>
      <c r="G635">
        <v>11.28</v>
      </c>
      <c r="H635">
        <v>9</v>
      </c>
      <c r="I635">
        <v>5.0759999999999996</v>
      </c>
      <c r="J635">
        <v>106.596</v>
      </c>
      <c r="K635" s="1">
        <v>43541</v>
      </c>
      <c r="L635" s="2">
        <v>0.49652777777777779</v>
      </c>
      <c r="M635" t="s">
        <v>32</v>
      </c>
      <c r="N635">
        <v>101.52</v>
      </c>
      <c r="O635">
        <v>4.7619047620000003</v>
      </c>
      <c r="P635">
        <v>5.0759999999999996</v>
      </c>
      <c r="Q635">
        <v>4.3</v>
      </c>
      <c r="R635" s="3">
        <f t="shared" si="28"/>
        <v>43541.496527777781</v>
      </c>
      <c r="S635" t="str">
        <f t="shared" si="30"/>
        <v/>
      </c>
      <c r="T635" t="str">
        <f t="shared" si="29"/>
        <v/>
      </c>
    </row>
    <row r="636" spans="1:20">
      <c r="A636" t="s">
        <v>639</v>
      </c>
      <c r="B636" t="s">
        <v>41</v>
      </c>
      <c r="C636" t="s">
        <v>42</v>
      </c>
      <c r="D636" t="s">
        <v>27</v>
      </c>
      <c r="E636" t="s">
        <v>21</v>
      </c>
      <c r="F636" t="s">
        <v>35</v>
      </c>
      <c r="G636">
        <v>54.51</v>
      </c>
      <c r="H636">
        <v>6</v>
      </c>
      <c r="I636">
        <v>16.353000000000002</v>
      </c>
      <c r="J636">
        <v>343.41300000000001</v>
      </c>
      <c r="K636" s="1">
        <v>43541</v>
      </c>
      <c r="L636" s="2">
        <v>0.57916666666666672</v>
      </c>
      <c r="M636" t="s">
        <v>23</v>
      </c>
      <c r="N636">
        <v>327.06</v>
      </c>
      <c r="O636">
        <v>4.7619047620000003</v>
      </c>
      <c r="P636">
        <v>16.353000000000002</v>
      </c>
      <c r="Q636">
        <v>7.8</v>
      </c>
      <c r="R636" s="3">
        <f t="shared" si="28"/>
        <v>43541.57916666667</v>
      </c>
      <c r="S636">
        <f t="shared" si="30"/>
        <v>119.00000000023283</v>
      </c>
      <c r="T636">
        <f t="shared" si="29"/>
        <v>119</v>
      </c>
    </row>
    <row r="637" spans="1:20" hidden="1">
      <c r="A637" t="s">
        <v>669</v>
      </c>
      <c r="B637" t="s">
        <v>41</v>
      </c>
      <c r="C637" t="s">
        <v>42</v>
      </c>
      <c r="D637" t="s">
        <v>27</v>
      </c>
      <c r="E637" t="s">
        <v>177</v>
      </c>
      <c r="F637" t="s">
        <v>31</v>
      </c>
      <c r="G637">
        <v>99.7</v>
      </c>
      <c r="H637">
        <v>3</v>
      </c>
      <c r="I637">
        <v>14.955</v>
      </c>
      <c r="J637">
        <v>314.05500000000001</v>
      </c>
      <c r="K637" s="1">
        <v>43542</v>
      </c>
      <c r="L637" s="2">
        <v>0.47847222222222224</v>
      </c>
      <c r="M637" t="s">
        <v>23</v>
      </c>
      <c r="N637">
        <v>299.10000000000002</v>
      </c>
      <c r="O637">
        <v>4.7619047620000003</v>
      </c>
      <c r="P637">
        <v>14.955</v>
      </c>
      <c r="Q637">
        <v>4.7</v>
      </c>
      <c r="R637" s="3">
        <f t="shared" si="28"/>
        <v>43542.478472222225</v>
      </c>
      <c r="S637" t="str">
        <f t="shared" si="30"/>
        <v/>
      </c>
      <c r="T637" t="str">
        <f t="shared" si="29"/>
        <v/>
      </c>
    </row>
    <row r="638" spans="1:20">
      <c r="A638" t="s">
        <v>758</v>
      </c>
      <c r="B638" t="s">
        <v>41</v>
      </c>
      <c r="C638" t="s">
        <v>42</v>
      </c>
      <c r="D638" t="s">
        <v>27</v>
      </c>
      <c r="E638" t="s">
        <v>177</v>
      </c>
      <c r="F638" t="s">
        <v>31</v>
      </c>
      <c r="G638">
        <v>44.12</v>
      </c>
      <c r="H638">
        <v>3</v>
      </c>
      <c r="I638">
        <v>6.6180000000000003</v>
      </c>
      <c r="J638">
        <v>138.97800000000001</v>
      </c>
      <c r="K638" s="1">
        <v>43542</v>
      </c>
      <c r="L638" s="2">
        <v>0.57291666666666663</v>
      </c>
      <c r="M638" t="s">
        <v>32</v>
      </c>
      <c r="N638">
        <v>132.36000000000001</v>
      </c>
      <c r="O638">
        <v>4.7619047620000003</v>
      </c>
      <c r="P638">
        <v>6.6180000000000003</v>
      </c>
      <c r="Q638">
        <v>7.9</v>
      </c>
      <c r="R638" s="3">
        <f t="shared" si="28"/>
        <v>43542.572916666664</v>
      </c>
      <c r="S638">
        <f t="shared" si="30"/>
        <v>135.99999999278225</v>
      </c>
      <c r="T638">
        <f t="shared" si="29"/>
        <v>136</v>
      </c>
    </row>
    <row r="639" spans="1:20" hidden="1">
      <c r="A639" t="s">
        <v>581</v>
      </c>
      <c r="B639" t="s">
        <v>41</v>
      </c>
      <c r="C639" t="s">
        <v>42</v>
      </c>
      <c r="D639" t="s">
        <v>20</v>
      </c>
      <c r="E639" t="s">
        <v>177</v>
      </c>
      <c r="F639" t="s">
        <v>31</v>
      </c>
      <c r="G639">
        <v>38.81</v>
      </c>
      <c r="H639">
        <v>4</v>
      </c>
      <c r="I639">
        <v>7.7619999999999996</v>
      </c>
      <c r="J639">
        <v>163.00200000000001</v>
      </c>
      <c r="K639" s="1">
        <v>43543</v>
      </c>
      <c r="L639" s="2">
        <v>0.56944444444444442</v>
      </c>
      <c r="M639" t="s">
        <v>23</v>
      </c>
      <c r="N639">
        <v>155.24</v>
      </c>
      <c r="O639">
        <v>4.7619047620000003</v>
      </c>
      <c r="P639">
        <v>7.7619999999999996</v>
      </c>
      <c r="Q639">
        <v>4.9000000000000004</v>
      </c>
      <c r="R639" s="3">
        <f t="shared" si="28"/>
        <v>43543.569444444445</v>
      </c>
      <c r="S639" t="str">
        <f t="shared" si="30"/>
        <v/>
      </c>
      <c r="T639" t="str">
        <f t="shared" si="29"/>
        <v/>
      </c>
    </row>
    <row r="640" spans="1:20">
      <c r="A640" t="s">
        <v>139</v>
      </c>
      <c r="B640" t="s">
        <v>41</v>
      </c>
      <c r="C640" t="s">
        <v>42</v>
      </c>
      <c r="D640" t="s">
        <v>20</v>
      </c>
      <c r="E640" t="s">
        <v>21</v>
      </c>
      <c r="F640" t="s">
        <v>22</v>
      </c>
      <c r="G640">
        <v>30.35</v>
      </c>
      <c r="H640">
        <v>7</v>
      </c>
      <c r="I640">
        <v>10.6225</v>
      </c>
      <c r="J640">
        <v>223.07249999999999</v>
      </c>
      <c r="K640" s="1">
        <v>43543</v>
      </c>
      <c r="L640" s="2">
        <v>0.7631944444444444</v>
      </c>
      <c r="M640" t="s">
        <v>29</v>
      </c>
      <c r="N640">
        <v>212.45</v>
      </c>
      <c r="O640">
        <v>4.7619047620000003</v>
      </c>
      <c r="P640">
        <v>10.6225</v>
      </c>
      <c r="Q640">
        <v>8</v>
      </c>
      <c r="R640" s="3">
        <f t="shared" si="28"/>
        <v>43543.763194444444</v>
      </c>
      <c r="S640">
        <f t="shared" si="30"/>
        <v>278.99999999790452</v>
      </c>
      <c r="T640">
        <f t="shared" si="29"/>
        <v>279</v>
      </c>
    </row>
    <row r="641" spans="1:20">
      <c r="A641" t="s">
        <v>459</v>
      </c>
      <c r="B641" t="s">
        <v>41</v>
      </c>
      <c r="C641" t="s">
        <v>42</v>
      </c>
      <c r="D641" t="s">
        <v>20</v>
      </c>
      <c r="E641" t="s">
        <v>177</v>
      </c>
      <c r="F641" t="s">
        <v>45</v>
      </c>
      <c r="G641">
        <v>25.42</v>
      </c>
      <c r="H641">
        <v>8</v>
      </c>
      <c r="I641">
        <v>10.167999999999999</v>
      </c>
      <c r="J641">
        <v>213.52799999999999</v>
      </c>
      <c r="K641" s="1">
        <v>43543</v>
      </c>
      <c r="L641" s="2">
        <v>0.8208333333333333</v>
      </c>
      <c r="M641" t="s">
        <v>32</v>
      </c>
      <c r="N641">
        <v>203.36</v>
      </c>
      <c r="O641">
        <v>4.7619047620000003</v>
      </c>
      <c r="P641">
        <v>10.167999999999999</v>
      </c>
      <c r="Q641">
        <v>6.7</v>
      </c>
      <c r="R641" s="3">
        <f t="shared" si="28"/>
        <v>43543.820833333331</v>
      </c>
      <c r="S641">
        <f t="shared" si="30"/>
        <v>82.999999998137355</v>
      </c>
      <c r="T641">
        <f t="shared" si="29"/>
        <v>83</v>
      </c>
    </row>
    <row r="642" spans="1:20" hidden="1">
      <c r="A642" t="s">
        <v>600</v>
      </c>
      <c r="B642" t="s">
        <v>41</v>
      </c>
      <c r="C642" t="s">
        <v>42</v>
      </c>
      <c r="D642" t="s">
        <v>27</v>
      </c>
      <c r="E642" t="s">
        <v>177</v>
      </c>
      <c r="F642" t="s">
        <v>45</v>
      </c>
      <c r="G642">
        <v>99.25</v>
      </c>
      <c r="H642">
        <v>2</v>
      </c>
      <c r="I642">
        <v>9.9250000000000007</v>
      </c>
      <c r="J642">
        <v>208.42500000000001</v>
      </c>
      <c r="K642" s="1">
        <v>43544</v>
      </c>
      <c r="L642" s="2">
        <v>0.54305555555555551</v>
      </c>
      <c r="M642" t="s">
        <v>29</v>
      </c>
      <c r="N642">
        <v>198.5</v>
      </c>
      <c r="O642">
        <v>4.7619047620000003</v>
      </c>
      <c r="P642">
        <v>9.9250000000000007</v>
      </c>
      <c r="Q642">
        <v>9</v>
      </c>
      <c r="R642" s="3">
        <f t="shared" ref="R642:R705" si="31">K642+L642</f>
        <v>43544.543055555558</v>
      </c>
      <c r="S642" t="str">
        <f t="shared" si="30"/>
        <v/>
      </c>
      <c r="T642" t="str">
        <f t="shared" si="29"/>
        <v/>
      </c>
    </row>
    <row r="643" spans="1:20">
      <c r="A643" t="s">
        <v>463</v>
      </c>
      <c r="B643" t="s">
        <v>41</v>
      </c>
      <c r="C643" t="s">
        <v>42</v>
      </c>
      <c r="D643" t="s">
        <v>20</v>
      </c>
      <c r="E643" t="s">
        <v>21</v>
      </c>
      <c r="F643" t="s">
        <v>43</v>
      </c>
      <c r="G643">
        <v>20.87</v>
      </c>
      <c r="H643">
        <v>3</v>
      </c>
      <c r="I643">
        <v>3.1305000000000001</v>
      </c>
      <c r="J643">
        <v>65.740499999999997</v>
      </c>
      <c r="K643" s="1">
        <v>43544</v>
      </c>
      <c r="L643" s="2">
        <v>0.57847222222222228</v>
      </c>
      <c r="M643" t="s">
        <v>32</v>
      </c>
      <c r="N643">
        <v>62.61</v>
      </c>
      <c r="O643">
        <v>4.7619047620000003</v>
      </c>
      <c r="P643">
        <v>3.1305000000000001</v>
      </c>
      <c r="Q643">
        <v>8</v>
      </c>
      <c r="R643" s="3">
        <f t="shared" si="31"/>
        <v>43544.578472222223</v>
      </c>
      <c r="S643">
        <f t="shared" si="30"/>
        <v>50.999999998603016</v>
      </c>
      <c r="T643">
        <f t="shared" ref="T643:T706" si="32">IF(S643="","",ROUND(S643,2))</f>
        <v>51</v>
      </c>
    </row>
    <row r="644" spans="1:20">
      <c r="A644" t="s">
        <v>531</v>
      </c>
      <c r="B644" t="s">
        <v>41</v>
      </c>
      <c r="C644" t="s">
        <v>42</v>
      </c>
      <c r="D644" t="s">
        <v>27</v>
      </c>
      <c r="E644" t="s">
        <v>177</v>
      </c>
      <c r="F644" t="s">
        <v>35</v>
      </c>
      <c r="G644">
        <v>75.92</v>
      </c>
      <c r="H644">
        <v>8</v>
      </c>
      <c r="I644">
        <v>30.367999999999999</v>
      </c>
      <c r="J644">
        <v>637.72799999999995</v>
      </c>
      <c r="K644" s="1">
        <v>43544</v>
      </c>
      <c r="L644" s="2">
        <v>0.59305555555555556</v>
      </c>
      <c r="M644" t="s">
        <v>29</v>
      </c>
      <c r="N644">
        <v>607.36</v>
      </c>
      <c r="O644">
        <v>4.7619047620000003</v>
      </c>
      <c r="P644">
        <v>30.367999999999999</v>
      </c>
      <c r="Q644">
        <v>5.5</v>
      </c>
      <c r="R644" s="3">
        <f t="shared" si="31"/>
        <v>43544.593055555553</v>
      </c>
      <c r="S644">
        <f t="shared" si="30"/>
        <v>20.999999995110556</v>
      </c>
      <c r="T644">
        <f t="shared" si="32"/>
        <v>21</v>
      </c>
    </row>
    <row r="645" spans="1:20">
      <c r="A645" t="s">
        <v>248</v>
      </c>
      <c r="B645" t="s">
        <v>41</v>
      </c>
      <c r="C645" t="s">
        <v>42</v>
      </c>
      <c r="D645" t="s">
        <v>27</v>
      </c>
      <c r="E645" t="s">
        <v>177</v>
      </c>
      <c r="F645" t="s">
        <v>31</v>
      </c>
      <c r="G645">
        <v>92.36</v>
      </c>
      <c r="H645">
        <v>5</v>
      </c>
      <c r="I645">
        <v>23.09</v>
      </c>
      <c r="J645">
        <v>484.89</v>
      </c>
      <c r="K645" s="1">
        <v>43544</v>
      </c>
      <c r="L645" s="2">
        <v>0.80347222222222225</v>
      </c>
      <c r="M645" t="s">
        <v>23</v>
      </c>
      <c r="N645">
        <v>461.8</v>
      </c>
      <c r="O645">
        <v>4.7619047620000003</v>
      </c>
      <c r="P645">
        <v>23.09</v>
      </c>
      <c r="Q645">
        <v>4.9000000000000004</v>
      </c>
      <c r="R645" s="3">
        <f t="shared" si="31"/>
        <v>43544.803472222222</v>
      </c>
      <c r="S645">
        <f t="shared" si="30"/>
        <v>303.00000000279397</v>
      </c>
      <c r="T645">
        <f t="shared" si="32"/>
        <v>303</v>
      </c>
    </row>
    <row r="646" spans="1:20">
      <c r="A646" t="s">
        <v>670</v>
      </c>
      <c r="B646" t="s">
        <v>41</v>
      </c>
      <c r="C646" t="s">
        <v>42</v>
      </c>
      <c r="D646" t="s">
        <v>20</v>
      </c>
      <c r="E646" t="s">
        <v>177</v>
      </c>
      <c r="F646" t="s">
        <v>43</v>
      </c>
      <c r="G646">
        <v>79.91</v>
      </c>
      <c r="H646">
        <v>3</v>
      </c>
      <c r="I646">
        <v>11.986499999999999</v>
      </c>
      <c r="J646">
        <v>251.7165</v>
      </c>
      <c r="K646" s="1">
        <v>43544</v>
      </c>
      <c r="L646" s="2">
        <v>0.81111111111111112</v>
      </c>
      <c r="M646" t="s">
        <v>32</v>
      </c>
      <c r="N646">
        <v>239.73</v>
      </c>
      <c r="O646">
        <v>4.7619047620000003</v>
      </c>
      <c r="P646">
        <v>11.986499999999999</v>
      </c>
      <c r="Q646">
        <v>5</v>
      </c>
      <c r="R646" s="3">
        <f t="shared" si="31"/>
        <v>43544.811111111114</v>
      </c>
      <c r="S646">
        <f t="shared" si="30"/>
        <v>11.000000004423782</v>
      </c>
      <c r="T646">
        <f t="shared" si="32"/>
        <v>11</v>
      </c>
    </row>
    <row r="647" spans="1:20">
      <c r="A647" t="s">
        <v>683</v>
      </c>
      <c r="B647" t="s">
        <v>41</v>
      </c>
      <c r="C647" t="s">
        <v>42</v>
      </c>
      <c r="D647" t="s">
        <v>20</v>
      </c>
      <c r="E647" t="s">
        <v>177</v>
      </c>
      <c r="F647" t="s">
        <v>45</v>
      </c>
      <c r="G647">
        <v>33.630000000000003</v>
      </c>
      <c r="H647">
        <v>1</v>
      </c>
      <c r="I647">
        <v>1.6815</v>
      </c>
      <c r="J647">
        <v>35.311500000000002</v>
      </c>
      <c r="K647" s="1">
        <v>43544</v>
      </c>
      <c r="L647" s="2">
        <v>0.82986111111111116</v>
      </c>
      <c r="M647" t="s">
        <v>29</v>
      </c>
      <c r="N647">
        <v>33.630000000000003</v>
      </c>
      <c r="O647">
        <v>4.7619047620000003</v>
      </c>
      <c r="P647">
        <v>1.6815</v>
      </c>
      <c r="Q647">
        <v>5.6</v>
      </c>
      <c r="R647" s="3">
        <f t="shared" si="31"/>
        <v>43544.829861111109</v>
      </c>
      <c r="S647">
        <f t="shared" si="30"/>
        <v>26.999999993713573</v>
      </c>
      <c r="T647">
        <f t="shared" si="32"/>
        <v>27</v>
      </c>
    </row>
    <row r="648" spans="1:20" hidden="1">
      <c r="A648" t="s">
        <v>521</v>
      </c>
      <c r="B648" t="s">
        <v>41</v>
      </c>
      <c r="C648" t="s">
        <v>42</v>
      </c>
      <c r="D648" t="s">
        <v>20</v>
      </c>
      <c r="E648" t="s">
        <v>21</v>
      </c>
      <c r="F648" t="s">
        <v>35</v>
      </c>
      <c r="G648">
        <v>49.49</v>
      </c>
      <c r="H648">
        <v>4</v>
      </c>
      <c r="I648">
        <v>9.8979999999999997</v>
      </c>
      <c r="J648">
        <v>207.858</v>
      </c>
      <c r="K648" s="1">
        <v>43545</v>
      </c>
      <c r="L648" s="2">
        <v>0.64236111111111116</v>
      </c>
      <c r="M648" t="s">
        <v>23</v>
      </c>
      <c r="N648">
        <v>197.96</v>
      </c>
      <c r="O648">
        <v>4.7619047620000003</v>
      </c>
      <c r="P648">
        <v>9.8979999999999997</v>
      </c>
      <c r="Q648">
        <v>6.6</v>
      </c>
      <c r="R648" s="3">
        <f t="shared" si="31"/>
        <v>43545.642361111109</v>
      </c>
      <c r="S648" t="str">
        <f t="shared" si="30"/>
        <v/>
      </c>
      <c r="T648" t="str">
        <f t="shared" si="32"/>
        <v/>
      </c>
    </row>
    <row r="649" spans="1:20" hidden="1">
      <c r="A649" t="s">
        <v>87</v>
      </c>
      <c r="B649" t="s">
        <v>41</v>
      </c>
      <c r="C649" t="s">
        <v>42</v>
      </c>
      <c r="D649" t="s">
        <v>20</v>
      </c>
      <c r="E649" t="s">
        <v>21</v>
      </c>
      <c r="F649" t="s">
        <v>45</v>
      </c>
      <c r="G649">
        <v>17.87</v>
      </c>
      <c r="H649">
        <v>4</v>
      </c>
      <c r="I649">
        <v>3.5739999999999998</v>
      </c>
      <c r="J649">
        <v>75.054000000000002</v>
      </c>
      <c r="K649" s="1">
        <v>43546</v>
      </c>
      <c r="L649" s="2">
        <v>0.61250000000000004</v>
      </c>
      <c r="M649" t="s">
        <v>23</v>
      </c>
      <c r="N649">
        <v>71.48</v>
      </c>
      <c r="O649">
        <v>4.7619047620000003</v>
      </c>
      <c r="P649">
        <v>3.5739999999999998</v>
      </c>
      <c r="Q649">
        <v>6.5</v>
      </c>
      <c r="R649" s="3">
        <f t="shared" si="31"/>
        <v>43546.612500000003</v>
      </c>
      <c r="S649" t="str">
        <f t="shared" si="30"/>
        <v/>
      </c>
      <c r="T649" t="str">
        <f t="shared" si="32"/>
        <v/>
      </c>
    </row>
    <row r="650" spans="1:20">
      <c r="A650" t="s">
        <v>503</v>
      </c>
      <c r="B650" t="s">
        <v>41</v>
      </c>
      <c r="C650" t="s">
        <v>42</v>
      </c>
      <c r="D650" t="s">
        <v>27</v>
      </c>
      <c r="E650" t="s">
        <v>177</v>
      </c>
      <c r="F650" t="s">
        <v>35</v>
      </c>
      <c r="G650">
        <v>37.020000000000003</v>
      </c>
      <c r="H650">
        <v>6</v>
      </c>
      <c r="I650">
        <v>11.106</v>
      </c>
      <c r="J650">
        <v>233.226</v>
      </c>
      <c r="K650" s="1">
        <v>43546</v>
      </c>
      <c r="L650" s="2">
        <v>0.7729166666666667</v>
      </c>
      <c r="M650" t="s">
        <v>29</v>
      </c>
      <c r="N650">
        <v>222.12</v>
      </c>
      <c r="O650">
        <v>4.7619047620000003</v>
      </c>
      <c r="P650">
        <v>11.106</v>
      </c>
      <c r="Q650">
        <v>4.5</v>
      </c>
      <c r="R650" s="3">
        <f t="shared" si="31"/>
        <v>43546.772916666669</v>
      </c>
      <c r="S650">
        <f t="shared" si="30"/>
        <v>230.99999999860302</v>
      </c>
      <c r="T650">
        <f t="shared" si="32"/>
        <v>231</v>
      </c>
    </row>
    <row r="651" spans="1:20">
      <c r="A651" t="s">
        <v>477</v>
      </c>
      <c r="B651" t="s">
        <v>41</v>
      </c>
      <c r="C651" t="s">
        <v>42</v>
      </c>
      <c r="D651" t="s">
        <v>20</v>
      </c>
      <c r="E651" t="s">
        <v>21</v>
      </c>
      <c r="F651" t="s">
        <v>35</v>
      </c>
      <c r="G651">
        <v>88.43</v>
      </c>
      <c r="H651">
        <v>8</v>
      </c>
      <c r="I651">
        <v>35.372</v>
      </c>
      <c r="J651">
        <v>742.81200000000001</v>
      </c>
      <c r="K651" s="1">
        <v>43546</v>
      </c>
      <c r="L651" s="2">
        <v>0.81597222222222221</v>
      </c>
      <c r="M651" t="s">
        <v>32</v>
      </c>
      <c r="N651">
        <v>707.44</v>
      </c>
      <c r="O651">
        <v>4.7619047620000003</v>
      </c>
      <c r="P651">
        <v>35.372</v>
      </c>
      <c r="Q651">
        <v>4.3</v>
      </c>
      <c r="R651" s="3">
        <f t="shared" si="31"/>
        <v>43546.815972222219</v>
      </c>
      <c r="S651">
        <f t="shared" si="30"/>
        <v>61.999999992549419</v>
      </c>
      <c r="T651">
        <f t="shared" si="32"/>
        <v>62</v>
      </c>
    </row>
    <row r="652" spans="1:20" hidden="1">
      <c r="A652" t="s">
        <v>186</v>
      </c>
      <c r="B652" t="s">
        <v>41</v>
      </c>
      <c r="C652" t="s">
        <v>42</v>
      </c>
      <c r="D652" t="s">
        <v>20</v>
      </c>
      <c r="E652" t="s">
        <v>21</v>
      </c>
      <c r="F652" t="s">
        <v>45</v>
      </c>
      <c r="G652">
        <v>91.54</v>
      </c>
      <c r="H652">
        <v>4</v>
      </c>
      <c r="I652">
        <v>18.308</v>
      </c>
      <c r="J652">
        <v>384.46800000000002</v>
      </c>
      <c r="K652" s="1">
        <v>43547</v>
      </c>
      <c r="L652" s="2">
        <v>0.80555555555555558</v>
      </c>
      <c r="M652" t="s">
        <v>32</v>
      </c>
      <c r="N652">
        <v>366.16</v>
      </c>
      <c r="O652">
        <v>4.7619047620000003</v>
      </c>
      <c r="P652">
        <v>18.308</v>
      </c>
      <c r="Q652">
        <v>4.8</v>
      </c>
      <c r="R652" s="3">
        <f t="shared" si="31"/>
        <v>43547.805555555555</v>
      </c>
      <c r="S652" t="str">
        <f t="shared" si="30"/>
        <v/>
      </c>
      <c r="T652" t="str">
        <f t="shared" si="32"/>
        <v/>
      </c>
    </row>
    <row r="653" spans="1:20" hidden="1">
      <c r="A653" t="s">
        <v>966</v>
      </c>
      <c r="B653" t="s">
        <v>41</v>
      </c>
      <c r="C653" t="s">
        <v>42</v>
      </c>
      <c r="D653" t="s">
        <v>27</v>
      </c>
      <c r="E653" t="s">
        <v>177</v>
      </c>
      <c r="F653" t="s">
        <v>31</v>
      </c>
      <c r="G653">
        <v>99.92</v>
      </c>
      <c r="H653">
        <v>6</v>
      </c>
      <c r="I653">
        <v>29.975999999999999</v>
      </c>
      <c r="J653">
        <v>629.49599999999998</v>
      </c>
      <c r="K653" s="1">
        <v>43548</v>
      </c>
      <c r="L653" s="2">
        <v>0.56458333333333333</v>
      </c>
      <c r="M653" t="s">
        <v>23</v>
      </c>
      <c r="N653">
        <v>599.52</v>
      </c>
      <c r="O653">
        <v>4.7619047620000003</v>
      </c>
      <c r="P653">
        <v>29.975999999999999</v>
      </c>
      <c r="Q653">
        <v>7.1</v>
      </c>
      <c r="R653" s="3">
        <f t="shared" si="31"/>
        <v>43548.564583333333</v>
      </c>
      <c r="S653" t="str">
        <f t="shared" si="30"/>
        <v/>
      </c>
      <c r="T653" t="str">
        <f t="shared" si="32"/>
        <v/>
      </c>
    </row>
    <row r="654" spans="1:20">
      <c r="A654" t="s">
        <v>943</v>
      </c>
      <c r="B654" t="s">
        <v>41</v>
      </c>
      <c r="C654" t="s">
        <v>42</v>
      </c>
      <c r="D654" t="s">
        <v>27</v>
      </c>
      <c r="E654" t="s">
        <v>21</v>
      </c>
      <c r="F654" t="s">
        <v>22</v>
      </c>
      <c r="G654">
        <v>82.88</v>
      </c>
      <c r="H654">
        <v>5</v>
      </c>
      <c r="I654">
        <v>20.72</v>
      </c>
      <c r="J654">
        <v>435.12</v>
      </c>
      <c r="K654" s="1">
        <v>43548</v>
      </c>
      <c r="L654" s="2">
        <v>0.58888888888888891</v>
      </c>
      <c r="M654" t="s">
        <v>32</v>
      </c>
      <c r="N654">
        <v>414.4</v>
      </c>
      <c r="O654">
        <v>4.7619047620000003</v>
      </c>
      <c r="P654">
        <v>20.72</v>
      </c>
      <c r="Q654">
        <v>6.6</v>
      </c>
      <c r="R654" s="3">
        <f t="shared" si="31"/>
        <v>43548.588888888888</v>
      </c>
      <c r="S654">
        <f t="shared" si="30"/>
        <v>34.999999998835847</v>
      </c>
      <c r="T654">
        <f t="shared" si="32"/>
        <v>35</v>
      </c>
    </row>
    <row r="655" spans="1:20">
      <c r="A655" t="s">
        <v>698</v>
      </c>
      <c r="B655" t="s">
        <v>41</v>
      </c>
      <c r="C655" t="s">
        <v>42</v>
      </c>
      <c r="D655" t="s">
        <v>20</v>
      </c>
      <c r="E655" t="s">
        <v>21</v>
      </c>
      <c r="F655" t="s">
        <v>45</v>
      </c>
      <c r="G655">
        <v>58.75</v>
      </c>
      <c r="H655">
        <v>6</v>
      </c>
      <c r="I655">
        <v>17.625</v>
      </c>
      <c r="J655">
        <v>370.125</v>
      </c>
      <c r="K655" s="1">
        <v>43548</v>
      </c>
      <c r="L655" s="2">
        <v>0.75972222222222219</v>
      </c>
      <c r="M655" t="s">
        <v>32</v>
      </c>
      <c r="N655">
        <v>352.5</v>
      </c>
      <c r="O655">
        <v>4.7619047620000003</v>
      </c>
      <c r="P655">
        <v>17.625</v>
      </c>
      <c r="Q655">
        <v>5.9</v>
      </c>
      <c r="R655" s="3">
        <f t="shared" si="31"/>
        <v>43548.759722222225</v>
      </c>
      <c r="S655">
        <f t="shared" si="30"/>
        <v>246.00000000558794</v>
      </c>
      <c r="T655">
        <f t="shared" si="32"/>
        <v>246</v>
      </c>
    </row>
    <row r="656" spans="1:20">
      <c r="A656" t="s">
        <v>252</v>
      </c>
      <c r="B656" t="s">
        <v>41</v>
      </c>
      <c r="C656" t="s">
        <v>42</v>
      </c>
      <c r="D656" t="s">
        <v>27</v>
      </c>
      <c r="E656" t="s">
        <v>21</v>
      </c>
      <c r="F656" t="s">
        <v>35</v>
      </c>
      <c r="G656">
        <v>24.77</v>
      </c>
      <c r="H656">
        <v>5</v>
      </c>
      <c r="I656">
        <v>6.1924999999999999</v>
      </c>
      <c r="J656">
        <v>130.04249999999999</v>
      </c>
      <c r="K656" s="1">
        <v>43548</v>
      </c>
      <c r="L656" s="2">
        <v>0.76875000000000004</v>
      </c>
      <c r="M656" t="s">
        <v>29</v>
      </c>
      <c r="N656">
        <v>123.85</v>
      </c>
      <c r="O656">
        <v>4.7619047620000003</v>
      </c>
      <c r="P656">
        <v>6.1924999999999999</v>
      </c>
      <c r="Q656">
        <v>8.5</v>
      </c>
      <c r="R656" s="3">
        <f t="shared" si="31"/>
        <v>43548.768750000003</v>
      </c>
      <c r="S656">
        <f t="shared" si="30"/>
        <v>13.000000000465661</v>
      </c>
      <c r="T656">
        <f t="shared" si="32"/>
        <v>13</v>
      </c>
    </row>
    <row r="657" spans="1:20" hidden="1">
      <c r="A657" t="s">
        <v>856</v>
      </c>
      <c r="B657" t="s">
        <v>41</v>
      </c>
      <c r="C657" t="s">
        <v>42</v>
      </c>
      <c r="D657" t="s">
        <v>27</v>
      </c>
      <c r="E657" t="s">
        <v>177</v>
      </c>
      <c r="F657" t="s">
        <v>28</v>
      </c>
      <c r="G657">
        <v>52.89</v>
      </c>
      <c r="H657">
        <v>4</v>
      </c>
      <c r="I657">
        <v>10.577999999999999</v>
      </c>
      <c r="J657">
        <v>222.13800000000001</v>
      </c>
      <c r="K657" s="1">
        <v>43549</v>
      </c>
      <c r="L657" s="2">
        <v>0.68888888888888888</v>
      </c>
      <c r="M657" t="s">
        <v>23</v>
      </c>
      <c r="N657">
        <v>211.56</v>
      </c>
      <c r="O657">
        <v>4.7619047620000003</v>
      </c>
      <c r="P657">
        <v>10.577999999999999</v>
      </c>
      <c r="Q657">
        <v>6.7</v>
      </c>
      <c r="R657" s="3">
        <f t="shared" si="31"/>
        <v>43549.688888888886</v>
      </c>
      <c r="S657" t="str">
        <f t="shared" ref="S657:S720" si="33">IF(K657=K656, (R657-R656)*1440, "")</f>
        <v/>
      </c>
      <c r="T657" t="str">
        <f t="shared" si="32"/>
        <v/>
      </c>
    </row>
    <row r="658" spans="1:20">
      <c r="A658" t="s">
        <v>539</v>
      </c>
      <c r="B658" t="s">
        <v>41</v>
      </c>
      <c r="C658" t="s">
        <v>42</v>
      </c>
      <c r="D658" t="s">
        <v>27</v>
      </c>
      <c r="E658" t="s">
        <v>21</v>
      </c>
      <c r="F658" t="s">
        <v>35</v>
      </c>
      <c r="G658">
        <v>93.31</v>
      </c>
      <c r="H658">
        <v>2</v>
      </c>
      <c r="I658">
        <v>9.3309999999999995</v>
      </c>
      <c r="J658">
        <v>195.95099999999999</v>
      </c>
      <c r="K658" s="1">
        <v>43549</v>
      </c>
      <c r="L658" s="2">
        <v>0.74513888888888891</v>
      </c>
      <c r="M658" t="s">
        <v>29</v>
      </c>
      <c r="N658">
        <v>186.62</v>
      </c>
      <c r="O658">
        <v>4.7619047620000003</v>
      </c>
      <c r="P658">
        <v>9.3309999999999995</v>
      </c>
      <c r="Q658">
        <v>6.3</v>
      </c>
      <c r="R658" s="3">
        <f t="shared" si="31"/>
        <v>43549.745138888888</v>
      </c>
      <c r="S658">
        <f t="shared" si="33"/>
        <v>81.000000002095476</v>
      </c>
      <c r="T658">
        <f t="shared" si="32"/>
        <v>81</v>
      </c>
    </row>
    <row r="659" spans="1:20" hidden="1">
      <c r="A659" t="s">
        <v>556</v>
      </c>
      <c r="B659" t="s">
        <v>41</v>
      </c>
      <c r="C659" t="s">
        <v>42</v>
      </c>
      <c r="D659" t="s">
        <v>27</v>
      </c>
      <c r="E659" t="s">
        <v>21</v>
      </c>
      <c r="F659" t="s">
        <v>28</v>
      </c>
      <c r="G659">
        <v>45.71</v>
      </c>
      <c r="H659">
        <v>3</v>
      </c>
      <c r="I659">
        <v>6.8564999999999996</v>
      </c>
      <c r="J659">
        <v>143.98650000000001</v>
      </c>
      <c r="K659" s="1">
        <v>43550</v>
      </c>
      <c r="L659" s="2">
        <v>0.44027777777777777</v>
      </c>
      <c r="M659" t="s">
        <v>32</v>
      </c>
      <c r="N659">
        <v>137.13</v>
      </c>
      <c r="O659">
        <v>4.7619047620000003</v>
      </c>
      <c r="P659">
        <v>6.8564999999999996</v>
      </c>
      <c r="Q659">
        <v>7.7</v>
      </c>
      <c r="R659" s="3">
        <f t="shared" si="31"/>
        <v>43550.44027777778</v>
      </c>
      <c r="S659" t="str">
        <f t="shared" si="33"/>
        <v/>
      </c>
      <c r="T659" t="str">
        <f t="shared" si="32"/>
        <v/>
      </c>
    </row>
    <row r="660" spans="1:20">
      <c r="A660" t="s">
        <v>485</v>
      </c>
      <c r="B660" t="s">
        <v>41</v>
      </c>
      <c r="C660" t="s">
        <v>42</v>
      </c>
      <c r="D660" t="s">
        <v>20</v>
      </c>
      <c r="E660" t="s">
        <v>21</v>
      </c>
      <c r="F660" t="s">
        <v>35</v>
      </c>
      <c r="G660">
        <v>39.119999999999997</v>
      </c>
      <c r="H660">
        <v>1</v>
      </c>
      <c r="I660">
        <v>1.956</v>
      </c>
      <c r="J660">
        <v>41.076000000000001</v>
      </c>
      <c r="K660" s="1">
        <v>43550</v>
      </c>
      <c r="L660" s="2">
        <v>0.4597222222222222</v>
      </c>
      <c r="M660" t="s">
        <v>32</v>
      </c>
      <c r="N660">
        <v>39.119999999999997</v>
      </c>
      <c r="O660">
        <v>4.7619047620000003</v>
      </c>
      <c r="P660">
        <v>1.956</v>
      </c>
      <c r="Q660">
        <v>9.6</v>
      </c>
      <c r="R660" s="3">
        <f t="shared" si="31"/>
        <v>43550.459722222222</v>
      </c>
      <c r="S660">
        <f t="shared" si="33"/>
        <v>27.999999996973202</v>
      </c>
      <c r="T660">
        <f t="shared" si="32"/>
        <v>28</v>
      </c>
    </row>
    <row r="661" spans="1:20">
      <c r="A661" t="s">
        <v>784</v>
      </c>
      <c r="B661" t="s">
        <v>41</v>
      </c>
      <c r="C661" t="s">
        <v>42</v>
      </c>
      <c r="D661" t="s">
        <v>20</v>
      </c>
      <c r="E661" t="s">
        <v>21</v>
      </c>
      <c r="F661" t="s">
        <v>31</v>
      </c>
      <c r="G661">
        <v>12.29</v>
      </c>
      <c r="H661">
        <v>9</v>
      </c>
      <c r="I661">
        <v>5.5305</v>
      </c>
      <c r="J661">
        <v>116.1405</v>
      </c>
      <c r="K661" s="1">
        <v>43550</v>
      </c>
      <c r="L661" s="2">
        <v>0.81111111111111112</v>
      </c>
      <c r="M661" t="s">
        <v>32</v>
      </c>
      <c r="N661">
        <v>110.61</v>
      </c>
      <c r="O661">
        <v>4.7619047620000003</v>
      </c>
      <c r="P661">
        <v>5.5305</v>
      </c>
      <c r="Q661">
        <v>8</v>
      </c>
      <c r="R661" s="3">
        <f t="shared" si="31"/>
        <v>43550.811111111114</v>
      </c>
      <c r="S661">
        <f t="shared" si="33"/>
        <v>506.00000000442378</v>
      </c>
      <c r="T661">
        <f t="shared" si="32"/>
        <v>506</v>
      </c>
    </row>
    <row r="662" spans="1:20" hidden="1">
      <c r="A662" t="s">
        <v>678</v>
      </c>
      <c r="B662" t="s">
        <v>41</v>
      </c>
      <c r="C662" t="s">
        <v>42</v>
      </c>
      <c r="D662" t="s">
        <v>20</v>
      </c>
      <c r="E662" t="s">
        <v>177</v>
      </c>
      <c r="F662" t="s">
        <v>28</v>
      </c>
      <c r="G662">
        <v>55.67</v>
      </c>
      <c r="H662">
        <v>2</v>
      </c>
      <c r="I662">
        <v>5.5670000000000002</v>
      </c>
      <c r="J662">
        <v>116.907</v>
      </c>
      <c r="K662" s="1">
        <v>43551</v>
      </c>
      <c r="L662" s="2">
        <v>0.63055555555555554</v>
      </c>
      <c r="M662" t="s">
        <v>23</v>
      </c>
      <c r="N662">
        <v>111.34</v>
      </c>
      <c r="O662">
        <v>4.7619047620000003</v>
      </c>
      <c r="P662">
        <v>5.5670000000000002</v>
      </c>
      <c r="Q662">
        <v>6</v>
      </c>
      <c r="R662" s="3">
        <f t="shared" si="31"/>
        <v>43551.630555555559</v>
      </c>
      <c r="S662" t="str">
        <f t="shared" si="33"/>
        <v/>
      </c>
      <c r="T662" t="str">
        <f t="shared" si="32"/>
        <v/>
      </c>
    </row>
    <row r="663" spans="1:20">
      <c r="A663" t="s">
        <v>737</v>
      </c>
      <c r="B663" t="s">
        <v>41</v>
      </c>
      <c r="C663" t="s">
        <v>42</v>
      </c>
      <c r="D663" t="s">
        <v>27</v>
      </c>
      <c r="E663" t="s">
        <v>177</v>
      </c>
      <c r="F663" t="s">
        <v>43</v>
      </c>
      <c r="G663">
        <v>32.32</v>
      </c>
      <c r="H663">
        <v>3</v>
      </c>
      <c r="I663">
        <v>4.8479999999999999</v>
      </c>
      <c r="J663">
        <v>101.80800000000001</v>
      </c>
      <c r="K663" s="1">
        <v>43551</v>
      </c>
      <c r="L663" s="2">
        <v>0.7993055555555556</v>
      </c>
      <c r="M663" t="s">
        <v>32</v>
      </c>
      <c r="N663">
        <v>96.96</v>
      </c>
      <c r="O663">
        <v>4.7619047620000003</v>
      </c>
      <c r="P663">
        <v>4.8479999999999999</v>
      </c>
      <c r="Q663">
        <v>4.3</v>
      </c>
      <c r="R663" s="3">
        <f t="shared" si="31"/>
        <v>43551.799305555556</v>
      </c>
      <c r="S663">
        <f t="shared" si="33"/>
        <v>242.99999999580905</v>
      </c>
      <c r="T663">
        <f t="shared" si="32"/>
        <v>243</v>
      </c>
    </row>
    <row r="664" spans="1:20">
      <c r="A664" t="s">
        <v>195</v>
      </c>
      <c r="B664" t="s">
        <v>41</v>
      </c>
      <c r="C664" t="s">
        <v>42</v>
      </c>
      <c r="D664" t="s">
        <v>27</v>
      </c>
      <c r="E664" t="s">
        <v>177</v>
      </c>
      <c r="F664" t="s">
        <v>35</v>
      </c>
      <c r="G664">
        <v>93.39</v>
      </c>
      <c r="H664">
        <v>6</v>
      </c>
      <c r="I664">
        <v>28.016999999999999</v>
      </c>
      <c r="J664">
        <v>588.35699999999997</v>
      </c>
      <c r="K664" s="1">
        <v>43551</v>
      </c>
      <c r="L664" s="2">
        <v>0.8041666666666667</v>
      </c>
      <c r="M664" t="s">
        <v>23</v>
      </c>
      <c r="N664">
        <v>560.34</v>
      </c>
      <c r="O664">
        <v>4.7619047620000003</v>
      </c>
      <c r="P664">
        <v>28.016999999999999</v>
      </c>
      <c r="Q664">
        <v>10</v>
      </c>
      <c r="R664" s="3">
        <f t="shared" si="31"/>
        <v>43551.804166666669</v>
      </c>
      <c r="S664">
        <f t="shared" si="33"/>
        <v>7.0000000018626451</v>
      </c>
      <c r="T664">
        <f t="shared" si="32"/>
        <v>7</v>
      </c>
    </row>
    <row r="665" spans="1:20">
      <c r="A665" t="s">
        <v>946</v>
      </c>
      <c r="B665" t="s">
        <v>41</v>
      </c>
      <c r="C665" t="s">
        <v>42</v>
      </c>
      <c r="D665" t="s">
        <v>20</v>
      </c>
      <c r="E665" t="s">
        <v>21</v>
      </c>
      <c r="F665" t="s">
        <v>43</v>
      </c>
      <c r="G665">
        <v>29.15</v>
      </c>
      <c r="H665">
        <v>3</v>
      </c>
      <c r="I665">
        <v>4.3724999999999996</v>
      </c>
      <c r="J665">
        <v>91.822500000000005</v>
      </c>
      <c r="K665" s="1">
        <v>43551</v>
      </c>
      <c r="L665" s="2">
        <v>0.85347222222222219</v>
      </c>
      <c r="M665" t="s">
        <v>32</v>
      </c>
      <c r="N665">
        <v>87.45</v>
      </c>
      <c r="O665">
        <v>4.7619047620000003</v>
      </c>
      <c r="P665">
        <v>4.3724999999999996</v>
      </c>
      <c r="Q665">
        <v>7.3</v>
      </c>
      <c r="R665" s="3">
        <f t="shared" si="31"/>
        <v>43551.853472222225</v>
      </c>
      <c r="S665">
        <f t="shared" si="33"/>
        <v>71.000000000931323</v>
      </c>
      <c r="T665">
        <f t="shared" si="32"/>
        <v>71</v>
      </c>
    </row>
    <row r="666" spans="1:20" hidden="1">
      <c r="A666" t="s">
        <v>244</v>
      </c>
      <c r="B666" t="s">
        <v>41</v>
      </c>
      <c r="C666" t="s">
        <v>42</v>
      </c>
      <c r="D666" t="s">
        <v>27</v>
      </c>
      <c r="E666" t="s">
        <v>21</v>
      </c>
      <c r="F666" t="s">
        <v>45</v>
      </c>
      <c r="G666">
        <v>30.37</v>
      </c>
      <c r="H666">
        <v>3</v>
      </c>
      <c r="I666">
        <v>4.5555000000000003</v>
      </c>
      <c r="J666">
        <v>95.665499999999994</v>
      </c>
      <c r="K666" s="1">
        <v>43552</v>
      </c>
      <c r="L666" s="2">
        <v>0.57013888888888886</v>
      </c>
      <c r="M666" t="s">
        <v>23</v>
      </c>
      <c r="N666">
        <v>91.11</v>
      </c>
      <c r="O666">
        <v>4.7619047620000003</v>
      </c>
      <c r="P666">
        <v>4.5555000000000003</v>
      </c>
      <c r="Q666">
        <v>5.0999999999999996</v>
      </c>
      <c r="R666" s="3">
        <f t="shared" si="31"/>
        <v>43552.570138888892</v>
      </c>
      <c r="S666" t="str">
        <f t="shared" si="33"/>
        <v/>
      </c>
      <c r="T666" t="str">
        <f t="shared" si="32"/>
        <v/>
      </c>
    </row>
    <row r="667" spans="1:20" hidden="1">
      <c r="A667" t="s">
        <v>131</v>
      </c>
      <c r="B667" t="s">
        <v>41</v>
      </c>
      <c r="C667" t="s">
        <v>42</v>
      </c>
      <c r="D667" t="s">
        <v>20</v>
      </c>
      <c r="E667" t="s">
        <v>21</v>
      </c>
      <c r="F667" t="s">
        <v>22</v>
      </c>
      <c r="G667">
        <v>87.87</v>
      </c>
      <c r="H667">
        <v>10</v>
      </c>
      <c r="I667">
        <v>43.935000000000002</v>
      </c>
      <c r="J667">
        <v>922.63499999999999</v>
      </c>
      <c r="K667" s="1">
        <v>43553</v>
      </c>
      <c r="L667" s="2">
        <v>0.43402777777777779</v>
      </c>
      <c r="M667" t="s">
        <v>23</v>
      </c>
      <c r="N667">
        <v>878.7</v>
      </c>
      <c r="O667">
        <v>4.7619047620000003</v>
      </c>
      <c r="P667">
        <v>43.935000000000002</v>
      </c>
      <c r="Q667">
        <v>5.0999999999999996</v>
      </c>
      <c r="R667" s="3">
        <f t="shared" si="31"/>
        <v>43553.434027777781</v>
      </c>
      <c r="S667" t="str">
        <f t="shared" si="33"/>
        <v/>
      </c>
      <c r="T667" t="str">
        <f t="shared" si="32"/>
        <v/>
      </c>
    </row>
    <row r="668" spans="1:20">
      <c r="A668" t="s">
        <v>741</v>
      </c>
      <c r="B668" t="s">
        <v>41</v>
      </c>
      <c r="C668" t="s">
        <v>42</v>
      </c>
      <c r="D668" t="s">
        <v>27</v>
      </c>
      <c r="E668" t="s">
        <v>177</v>
      </c>
      <c r="F668" t="s">
        <v>22</v>
      </c>
      <c r="G668">
        <v>71.77</v>
      </c>
      <c r="H668">
        <v>7</v>
      </c>
      <c r="I668">
        <v>25.119499999999999</v>
      </c>
      <c r="J668">
        <v>527.5095</v>
      </c>
      <c r="K668" s="1">
        <v>43553</v>
      </c>
      <c r="L668" s="2">
        <v>0.58750000000000002</v>
      </c>
      <c r="M668" t="s">
        <v>29</v>
      </c>
      <c r="N668">
        <v>502.39</v>
      </c>
      <c r="O668">
        <v>4.7619047620000003</v>
      </c>
      <c r="P668">
        <v>25.119499999999999</v>
      </c>
      <c r="Q668">
        <v>8.9</v>
      </c>
      <c r="R668" s="3">
        <f t="shared" si="31"/>
        <v>43553.587500000001</v>
      </c>
      <c r="S668">
        <f t="shared" si="33"/>
        <v>220.99999999743886</v>
      </c>
      <c r="T668">
        <f t="shared" si="32"/>
        <v>221</v>
      </c>
    </row>
    <row r="669" spans="1:20">
      <c r="A669" t="s">
        <v>544</v>
      </c>
      <c r="B669" t="s">
        <v>41</v>
      </c>
      <c r="C669" t="s">
        <v>42</v>
      </c>
      <c r="D669" t="s">
        <v>20</v>
      </c>
      <c r="E669" t="s">
        <v>177</v>
      </c>
      <c r="F669" t="s">
        <v>22</v>
      </c>
      <c r="G669">
        <v>61.29</v>
      </c>
      <c r="H669">
        <v>5</v>
      </c>
      <c r="I669">
        <v>15.3225</v>
      </c>
      <c r="J669">
        <v>321.77249999999998</v>
      </c>
      <c r="K669" s="1">
        <v>43553</v>
      </c>
      <c r="L669" s="2">
        <v>0.60277777777777775</v>
      </c>
      <c r="M669" t="s">
        <v>29</v>
      </c>
      <c r="N669">
        <v>306.45</v>
      </c>
      <c r="O669">
        <v>4.7619047620000003</v>
      </c>
      <c r="P669">
        <v>15.3225</v>
      </c>
      <c r="Q669">
        <v>7</v>
      </c>
      <c r="R669" s="3">
        <f t="shared" si="31"/>
        <v>43553.602777777778</v>
      </c>
      <c r="S669">
        <f t="shared" si="33"/>
        <v>21.999999998370185</v>
      </c>
      <c r="T669">
        <f t="shared" si="32"/>
        <v>22</v>
      </c>
    </row>
    <row r="670" spans="1:20">
      <c r="A670" t="s">
        <v>552</v>
      </c>
      <c r="B670" t="s">
        <v>41</v>
      </c>
      <c r="C670" t="s">
        <v>42</v>
      </c>
      <c r="D670" t="s">
        <v>20</v>
      </c>
      <c r="E670" t="s">
        <v>177</v>
      </c>
      <c r="F670" t="s">
        <v>22</v>
      </c>
      <c r="G670">
        <v>54.86</v>
      </c>
      <c r="H670">
        <v>5</v>
      </c>
      <c r="I670">
        <v>13.715</v>
      </c>
      <c r="J670">
        <v>288.01499999999999</v>
      </c>
      <c r="K670" s="1">
        <v>43553</v>
      </c>
      <c r="L670" s="2">
        <v>0.7</v>
      </c>
      <c r="M670" t="s">
        <v>23</v>
      </c>
      <c r="N670">
        <v>274.3</v>
      </c>
      <c r="O670">
        <v>4.7619047620000003</v>
      </c>
      <c r="P670">
        <v>13.715</v>
      </c>
      <c r="Q670">
        <v>9.8000000000000007</v>
      </c>
      <c r="R670" s="3">
        <f t="shared" si="31"/>
        <v>43553.7</v>
      </c>
      <c r="S670">
        <f t="shared" si="33"/>
        <v>139.99999999534339</v>
      </c>
      <c r="T670">
        <f t="shared" si="32"/>
        <v>140</v>
      </c>
    </row>
    <row r="671" spans="1:20" hidden="1">
      <c r="A671" t="s">
        <v>194</v>
      </c>
      <c r="B671" t="s">
        <v>41</v>
      </c>
      <c r="C671" t="s">
        <v>42</v>
      </c>
      <c r="D671" t="s">
        <v>20</v>
      </c>
      <c r="E671" t="s">
        <v>177</v>
      </c>
      <c r="F671" t="s">
        <v>22</v>
      </c>
      <c r="G671">
        <v>97.22</v>
      </c>
      <c r="H671">
        <v>9</v>
      </c>
      <c r="I671">
        <v>43.749000000000002</v>
      </c>
      <c r="J671">
        <v>918.72900000000004</v>
      </c>
      <c r="K671" s="1">
        <v>43554</v>
      </c>
      <c r="L671" s="2">
        <v>0.61319444444444449</v>
      </c>
      <c r="M671" t="s">
        <v>23</v>
      </c>
      <c r="N671">
        <v>874.98</v>
      </c>
      <c r="O671">
        <v>4.7619047620000003</v>
      </c>
      <c r="P671">
        <v>43.749000000000002</v>
      </c>
      <c r="Q671">
        <v>6</v>
      </c>
      <c r="R671" s="3">
        <f t="shared" si="31"/>
        <v>43554.613194444442</v>
      </c>
      <c r="S671" t="str">
        <f t="shared" si="33"/>
        <v/>
      </c>
      <c r="T671" t="str">
        <f t="shared" si="32"/>
        <v/>
      </c>
    </row>
    <row r="672" spans="1:20">
      <c r="A672" t="s">
        <v>707</v>
      </c>
      <c r="B672" t="s">
        <v>41</v>
      </c>
      <c r="C672" t="s">
        <v>42</v>
      </c>
      <c r="D672" t="s">
        <v>20</v>
      </c>
      <c r="E672" t="s">
        <v>177</v>
      </c>
      <c r="F672" t="s">
        <v>43</v>
      </c>
      <c r="G672">
        <v>93.4</v>
      </c>
      <c r="H672">
        <v>2</v>
      </c>
      <c r="I672">
        <v>9.34</v>
      </c>
      <c r="J672">
        <v>196.14</v>
      </c>
      <c r="K672" s="1">
        <v>43554</v>
      </c>
      <c r="L672" s="2">
        <v>0.69027777777777777</v>
      </c>
      <c r="M672" t="s">
        <v>29</v>
      </c>
      <c r="N672">
        <v>186.8</v>
      </c>
      <c r="O672">
        <v>4.7619047620000003</v>
      </c>
      <c r="P672">
        <v>9.34</v>
      </c>
      <c r="Q672">
        <v>5.5</v>
      </c>
      <c r="R672" s="3">
        <f t="shared" si="31"/>
        <v>43554.69027777778</v>
      </c>
      <c r="S672">
        <f t="shared" si="33"/>
        <v>111.00000000558794</v>
      </c>
      <c r="T672">
        <f t="shared" si="32"/>
        <v>111</v>
      </c>
    </row>
    <row r="673" spans="1:20">
      <c r="A673" t="s">
        <v>509</v>
      </c>
      <c r="B673" t="s">
        <v>41</v>
      </c>
      <c r="C673" t="s">
        <v>42</v>
      </c>
      <c r="D673" t="s">
        <v>20</v>
      </c>
      <c r="E673" t="s">
        <v>177</v>
      </c>
      <c r="F673" t="s">
        <v>22</v>
      </c>
      <c r="G673">
        <v>72.569999999999993</v>
      </c>
      <c r="H673">
        <v>8</v>
      </c>
      <c r="I673">
        <v>29.027999999999999</v>
      </c>
      <c r="J673">
        <v>609.58799999999997</v>
      </c>
      <c r="K673" s="1">
        <v>43554</v>
      </c>
      <c r="L673" s="2">
        <v>0.74861111111111112</v>
      </c>
      <c r="M673" t="s">
        <v>29</v>
      </c>
      <c r="N673">
        <v>580.55999999999995</v>
      </c>
      <c r="O673">
        <v>4.7619047620000003</v>
      </c>
      <c r="P673">
        <v>29.027999999999999</v>
      </c>
      <c r="Q673">
        <v>4.5999999999999996</v>
      </c>
      <c r="R673" s="3">
        <f t="shared" si="31"/>
        <v>43554.748611111114</v>
      </c>
      <c r="S673">
        <f t="shared" si="33"/>
        <v>84.000000001396984</v>
      </c>
      <c r="T673">
        <f t="shared" si="32"/>
        <v>84</v>
      </c>
    </row>
    <row r="674" spans="1:20" hidden="1">
      <c r="A674" t="s">
        <v>875</v>
      </c>
      <c r="B674" t="s">
        <v>25</v>
      </c>
      <c r="C674" t="s">
        <v>26</v>
      </c>
      <c r="D674" t="s">
        <v>20</v>
      </c>
      <c r="E674" t="s">
        <v>21</v>
      </c>
      <c r="F674" t="s">
        <v>35</v>
      </c>
      <c r="G674">
        <v>29.22</v>
      </c>
      <c r="H674">
        <v>6</v>
      </c>
      <c r="I674">
        <v>8.766</v>
      </c>
      <c r="J674">
        <v>184.08600000000001</v>
      </c>
      <c r="K674" s="1">
        <v>43466</v>
      </c>
      <c r="L674" s="2">
        <v>0.4861111111111111</v>
      </c>
      <c r="M674" t="s">
        <v>23</v>
      </c>
      <c r="N674">
        <v>175.32</v>
      </c>
      <c r="O674">
        <v>4.7619047620000003</v>
      </c>
      <c r="P674">
        <v>8.766</v>
      </c>
      <c r="Q674">
        <v>5</v>
      </c>
      <c r="R674" s="3">
        <f t="shared" si="31"/>
        <v>43466.486111111109</v>
      </c>
      <c r="S674" t="str">
        <f t="shared" si="33"/>
        <v/>
      </c>
      <c r="T674" t="str">
        <f t="shared" si="32"/>
        <v/>
      </c>
    </row>
    <row r="675" spans="1:20">
      <c r="A675" t="s">
        <v>559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62.87</v>
      </c>
      <c r="H675">
        <v>2</v>
      </c>
      <c r="I675">
        <v>6.2869999999999999</v>
      </c>
      <c r="J675">
        <v>132.02699999999999</v>
      </c>
      <c r="K675" s="1">
        <v>43466</v>
      </c>
      <c r="L675" s="2">
        <v>0.48819444444444443</v>
      </c>
      <c r="M675" t="s">
        <v>29</v>
      </c>
      <c r="N675">
        <v>125.74</v>
      </c>
      <c r="O675">
        <v>4.7619047620000003</v>
      </c>
      <c r="P675">
        <v>6.2869999999999999</v>
      </c>
      <c r="Q675">
        <v>5</v>
      </c>
      <c r="R675" s="3">
        <f t="shared" si="31"/>
        <v>43466.488194444442</v>
      </c>
      <c r="S675">
        <f t="shared" si="33"/>
        <v>2.9999999993015081</v>
      </c>
      <c r="T675">
        <f t="shared" si="32"/>
        <v>3</v>
      </c>
    </row>
    <row r="676" spans="1:20">
      <c r="A676" t="s">
        <v>532</v>
      </c>
      <c r="B676" t="s">
        <v>25</v>
      </c>
      <c r="C676" t="s">
        <v>26</v>
      </c>
      <c r="D676" t="s">
        <v>27</v>
      </c>
      <c r="E676" t="s">
        <v>21</v>
      </c>
      <c r="F676" t="s">
        <v>28</v>
      </c>
      <c r="G676">
        <v>63.22</v>
      </c>
      <c r="H676">
        <v>2</v>
      </c>
      <c r="I676">
        <v>6.3220000000000001</v>
      </c>
      <c r="J676">
        <v>132.762</v>
      </c>
      <c r="K676" s="1">
        <v>43466</v>
      </c>
      <c r="L676" s="2">
        <v>0.66041666666666665</v>
      </c>
      <c r="M676" t="s">
        <v>29</v>
      </c>
      <c r="N676">
        <v>126.44</v>
      </c>
      <c r="O676">
        <v>4.7619047620000003</v>
      </c>
      <c r="P676">
        <v>6.3220000000000001</v>
      </c>
      <c r="Q676">
        <v>8.5</v>
      </c>
      <c r="R676" s="3">
        <f t="shared" si="31"/>
        <v>43466.660416666666</v>
      </c>
      <c r="S676">
        <f t="shared" si="33"/>
        <v>248.00000000162981</v>
      </c>
      <c r="T676">
        <f t="shared" si="32"/>
        <v>248</v>
      </c>
    </row>
    <row r="677" spans="1:20">
      <c r="A677" t="s">
        <v>520</v>
      </c>
      <c r="B677" t="s">
        <v>25</v>
      </c>
      <c r="C677" t="s">
        <v>26</v>
      </c>
      <c r="D677" t="s">
        <v>20</v>
      </c>
      <c r="E677" t="s">
        <v>21</v>
      </c>
      <c r="F677" t="s">
        <v>35</v>
      </c>
      <c r="G677">
        <v>36.979999999999997</v>
      </c>
      <c r="H677">
        <v>10</v>
      </c>
      <c r="I677">
        <v>18.489999999999998</v>
      </c>
      <c r="J677">
        <v>388.29</v>
      </c>
      <c r="K677" s="1">
        <v>43466</v>
      </c>
      <c r="L677" s="2">
        <v>0.82499999999999996</v>
      </c>
      <c r="M677" t="s">
        <v>32</v>
      </c>
      <c r="N677">
        <v>369.8</v>
      </c>
      <c r="O677">
        <v>4.7619047620000003</v>
      </c>
      <c r="P677">
        <v>18.489999999999998</v>
      </c>
      <c r="Q677">
        <v>7</v>
      </c>
      <c r="R677" s="3">
        <f t="shared" si="31"/>
        <v>43466.824999999997</v>
      </c>
      <c r="S677">
        <f t="shared" si="33"/>
        <v>236.99999999720603</v>
      </c>
      <c r="T677">
        <f t="shared" si="32"/>
        <v>237</v>
      </c>
    </row>
    <row r="678" spans="1:20" hidden="1">
      <c r="A678" t="s">
        <v>780</v>
      </c>
      <c r="B678" t="s">
        <v>25</v>
      </c>
      <c r="C678" t="s">
        <v>26</v>
      </c>
      <c r="D678" t="s">
        <v>20</v>
      </c>
      <c r="E678" t="s">
        <v>21</v>
      </c>
      <c r="F678" t="s">
        <v>35</v>
      </c>
      <c r="G678">
        <v>31.67</v>
      </c>
      <c r="H678">
        <v>8</v>
      </c>
      <c r="I678">
        <v>12.667999999999999</v>
      </c>
      <c r="J678">
        <v>266.02800000000002</v>
      </c>
      <c r="K678" s="1">
        <v>43467</v>
      </c>
      <c r="L678" s="2">
        <v>0.67986111111111114</v>
      </c>
      <c r="M678" t="s">
        <v>32</v>
      </c>
      <c r="N678">
        <v>253.36</v>
      </c>
      <c r="O678">
        <v>4.7619047620000003</v>
      </c>
      <c r="P678">
        <v>12.667999999999999</v>
      </c>
      <c r="Q678">
        <v>5.6</v>
      </c>
      <c r="R678" s="3">
        <f t="shared" si="31"/>
        <v>43467.679861111108</v>
      </c>
      <c r="S678" t="str">
        <f t="shared" si="33"/>
        <v/>
      </c>
      <c r="T678" t="str">
        <f t="shared" si="32"/>
        <v/>
      </c>
    </row>
    <row r="679" spans="1:20">
      <c r="A679" t="s">
        <v>336</v>
      </c>
      <c r="B679" t="s">
        <v>25</v>
      </c>
      <c r="C679" t="s">
        <v>26</v>
      </c>
      <c r="D679" t="s">
        <v>27</v>
      </c>
      <c r="E679" t="s">
        <v>177</v>
      </c>
      <c r="F679" t="s">
        <v>45</v>
      </c>
      <c r="G679">
        <v>99.82</v>
      </c>
      <c r="H679">
        <v>2</v>
      </c>
      <c r="I679">
        <v>9.9819999999999993</v>
      </c>
      <c r="J679">
        <v>209.62200000000001</v>
      </c>
      <c r="K679" s="1">
        <v>43467</v>
      </c>
      <c r="L679" s="2">
        <v>0.75624999999999998</v>
      </c>
      <c r="M679" t="s">
        <v>32</v>
      </c>
      <c r="N679">
        <v>199.64</v>
      </c>
      <c r="O679">
        <v>4.7619047620000003</v>
      </c>
      <c r="P679">
        <v>9.9819999999999993</v>
      </c>
      <c r="Q679">
        <v>6.7</v>
      </c>
      <c r="R679" s="3">
        <f t="shared" si="31"/>
        <v>43467.756249999999</v>
      </c>
      <c r="S679">
        <f t="shared" si="33"/>
        <v>110.00000000232831</v>
      </c>
      <c r="T679">
        <f t="shared" si="32"/>
        <v>110</v>
      </c>
    </row>
    <row r="680" spans="1:20" hidden="1">
      <c r="A680" t="s">
        <v>577</v>
      </c>
      <c r="B680" t="s">
        <v>25</v>
      </c>
      <c r="C680" t="s">
        <v>26</v>
      </c>
      <c r="D680" t="s">
        <v>20</v>
      </c>
      <c r="E680" t="s">
        <v>177</v>
      </c>
      <c r="F680" t="s">
        <v>22</v>
      </c>
      <c r="G680">
        <v>75.88</v>
      </c>
      <c r="H680">
        <v>1</v>
      </c>
      <c r="I680">
        <v>3.794</v>
      </c>
      <c r="J680">
        <v>79.674000000000007</v>
      </c>
      <c r="K680" s="1">
        <v>43468</v>
      </c>
      <c r="L680" s="2">
        <v>0.4375</v>
      </c>
      <c r="M680" t="s">
        <v>32</v>
      </c>
      <c r="N680">
        <v>75.88</v>
      </c>
      <c r="O680">
        <v>4.7619047620000003</v>
      </c>
      <c r="P680">
        <v>3.794</v>
      </c>
      <c r="Q680">
        <v>7.1</v>
      </c>
      <c r="R680" s="3">
        <f t="shared" si="31"/>
        <v>43468.4375</v>
      </c>
      <c r="S680" t="str">
        <f t="shared" si="33"/>
        <v/>
      </c>
      <c r="T680" t="str">
        <f t="shared" si="32"/>
        <v/>
      </c>
    </row>
    <row r="681" spans="1:20">
      <c r="A681" t="s">
        <v>307</v>
      </c>
      <c r="B681" t="s">
        <v>25</v>
      </c>
      <c r="C681" t="s">
        <v>26</v>
      </c>
      <c r="D681" t="s">
        <v>20</v>
      </c>
      <c r="E681" t="s">
        <v>21</v>
      </c>
      <c r="F681" t="s">
        <v>22</v>
      </c>
      <c r="G681">
        <v>21.12</v>
      </c>
      <c r="H681">
        <v>2</v>
      </c>
      <c r="I681">
        <v>2.1120000000000001</v>
      </c>
      <c r="J681">
        <v>44.351999999999997</v>
      </c>
      <c r="K681" s="1">
        <v>43468</v>
      </c>
      <c r="L681" s="2">
        <v>0.80347222222222225</v>
      </c>
      <c r="M681" t="s">
        <v>29</v>
      </c>
      <c r="N681">
        <v>42.24</v>
      </c>
      <c r="O681">
        <v>4.7619047620000003</v>
      </c>
      <c r="P681">
        <v>2.1120000000000001</v>
      </c>
      <c r="Q681">
        <v>9.6999999999999993</v>
      </c>
      <c r="R681" s="3">
        <f t="shared" si="31"/>
        <v>43468.803472222222</v>
      </c>
      <c r="S681">
        <f t="shared" si="33"/>
        <v>526.99999999953434</v>
      </c>
      <c r="T681">
        <f t="shared" si="32"/>
        <v>527</v>
      </c>
    </row>
    <row r="682" spans="1:20" hidden="1">
      <c r="A682" t="s">
        <v>242</v>
      </c>
      <c r="B682" t="s">
        <v>25</v>
      </c>
      <c r="C682" t="s">
        <v>26</v>
      </c>
      <c r="D682" t="s">
        <v>20</v>
      </c>
      <c r="E682" t="s">
        <v>21</v>
      </c>
      <c r="F682" t="s">
        <v>28</v>
      </c>
      <c r="G682">
        <v>66.650000000000006</v>
      </c>
      <c r="H682">
        <v>9</v>
      </c>
      <c r="I682">
        <v>29.9925</v>
      </c>
      <c r="J682">
        <v>629.84249999999997</v>
      </c>
      <c r="K682" s="1">
        <v>43469</v>
      </c>
      <c r="L682" s="2">
        <v>0.7631944444444444</v>
      </c>
      <c r="M682" t="s">
        <v>32</v>
      </c>
      <c r="N682">
        <v>599.85</v>
      </c>
      <c r="O682">
        <v>4.7619047620000003</v>
      </c>
      <c r="P682">
        <v>29.9925</v>
      </c>
      <c r="Q682">
        <v>9.6999999999999993</v>
      </c>
      <c r="R682" s="3">
        <f t="shared" si="31"/>
        <v>43469.763194444444</v>
      </c>
      <c r="S682" t="str">
        <f t="shared" si="33"/>
        <v/>
      </c>
      <c r="T682" t="str">
        <f t="shared" si="32"/>
        <v/>
      </c>
    </row>
    <row r="683" spans="1:20" hidden="1">
      <c r="A683" t="s">
        <v>537</v>
      </c>
      <c r="B683" t="s">
        <v>25</v>
      </c>
      <c r="C683" t="s">
        <v>26</v>
      </c>
      <c r="D683" t="s">
        <v>20</v>
      </c>
      <c r="E683" t="s">
        <v>21</v>
      </c>
      <c r="F683" t="s">
        <v>45</v>
      </c>
      <c r="G683">
        <v>31.9</v>
      </c>
      <c r="H683">
        <v>1</v>
      </c>
      <c r="I683">
        <v>1.595</v>
      </c>
      <c r="J683">
        <v>33.494999999999997</v>
      </c>
      <c r="K683" s="1">
        <v>43470</v>
      </c>
      <c r="L683" s="2">
        <v>0.52777777777777779</v>
      </c>
      <c r="M683" t="s">
        <v>23</v>
      </c>
      <c r="N683">
        <v>31.9</v>
      </c>
      <c r="O683">
        <v>4.7619047620000003</v>
      </c>
      <c r="P683">
        <v>1.595</v>
      </c>
      <c r="Q683">
        <v>9.1</v>
      </c>
      <c r="R683" s="3">
        <f t="shared" si="31"/>
        <v>43470.527777777781</v>
      </c>
      <c r="S683" t="str">
        <f t="shared" si="33"/>
        <v/>
      </c>
      <c r="T683" t="str">
        <f t="shared" si="32"/>
        <v/>
      </c>
    </row>
    <row r="684" spans="1:20">
      <c r="A684" t="s">
        <v>972</v>
      </c>
      <c r="B684" t="s">
        <v>25</v>
      </c>
      <c r="C684" t="s">
        <v>26</v>
      </c>
      <c r="D684" t="s">
        <v>27</v>
      </c>
      <c r="E684" t="s">
        <v>21</v>
      </c>
      <c r="F684" t="s">
        <v>22</v>
      </c>
      <c r="G684">
        <v>78.89</v>
      </c>
      <c r="H684">
        <v>7</v>
      </c>
      <c r="I684">
        <v>27.611499999999999</v>
      </c>
      <c r="J684">
        <v>579.8415</v>
      </c>
      <c r="K684" s="1">
        <v>43470</v>
      </c>
      <c r="L684" s="2">
        <v>0.82499999999999996</v>
      </c>
      <c r="M684" t="s">
        <v>23</v>
      </c>
      <c r="N684">
        <v>552.23</v>
      </c>
      <c r="O684">
        <v>4.7619047620000003</v>
      </c>
      <c r="P684">
        <v>27.611499999999999</v>
      </c>
      <c r="Q684">
        <v>7.5</v>
      </c>
      <c r="R684" s="3">
        <f t="shared" si="31"/>
        <v>43470.824999999997</v>
      </c>
      <c r="S684">
        <f t="shared" si="33"/>
        <v>427.99999999115244</v>
      </c>
      <c r="T684">
        <f t="shared" si="32"/>
        <v>428</v>
      </c>
    </row>
    <row r="685" spans="1:20">
      <c r="A685" t="s">
        <v>802</v>
      </c>
      <c r="B685" t="s">
        <v>25</v>
      </c>
      <c r="C685" t="s">
        <v>26</v>
      </c>
      <c r="D685" t="s">
        <v>27</v>
      </c>
      <c r="E685" t="s">
        <v>21</v>
      </c>
      <c r="F685" t="s">
        <v>45</v>
      </c>
      <c r="G685">
        <v>76.06</v>
      </c>
      <c r="H685">
        <v>3</v>
      </c>
      <c r="I685">
        <v>11.409000000000001</v>
      </c>
      <c r="J685">
        <v>239.589</v>
      </c>
      <c r="K685" s="1">
        <v>43470</v>
      </c>
      <c r="L685" s="2">
        <v>0.85416666666666663</v>
      </c>
      <c r="M685" t="s">
        <v>32</v>
      </c>
      <c r="N685">
        <v>228.18</v>
      </c>
      <c r="O685">
        <v>4.7619047620000003</v>
      </c>
      <c r="P685">
        <v>11.409000000000001</v>
      </c>
      <c r="Q685">
        <v>9.8000000000000007</v>
      </c>
      <c r="R685" s="3">
        <f t="shared" si="31"/>
        <v>43470.854166666664</v>
      </c>
      <c r="S685">
        <f t="shared" si="33"/>
        <v>42.000000000698492</v>
      </c>
      <c r="T685">
        <f t="shared" si="32"/>
        <v>42</v>
      </c>
    </row>
    <row r="686" spans="1:20">
      <c r="A686" t="s">
        <v>141</v>
      </c>
      <c r="B686" t="s">
        <v>25</v>
      </c>
      <c r="C686" t="s">
        <v>26</v>
      </c>
      <c r="D686" t="s">
        <v>20</v>
      </c>
      <c r="E686" t="s">
        <v>21</v>
      </c>
      <c r="F686" t="s">
        <v>45</v>
      </c>
      <c r="G686">
        <v>27.38</v>
      </c>
      <c r="H686">
        <v>6</v>
      </c>
      <c r="I686">
        <v>8.2140000000000004</v>
      </c>
      <c r="J686">
        <v>172.494</v>
      </c>
      <c r="K686" s="1">
        <v>43470</v>
      </c>
      <c r="L686" s="2">
        <v>0.87083333333333335</v>
      </c>
      <c r="M686" t="s">
        <v>32</v>
      </c>
      <c r="N686">
        <v>164.28</v>
      </c>
      <c r="O686">
        <v>4.7619047620000003</v>
      </c>
      <c r="P686">
        <v>8.2140000000000004</v>
      </c>
      <c r="Q686">
        <v>7.9</v>
      </c>
      <c r="R686" s="3">
        <f t="shared" si="31"/>
        <v>43470.870833333334</v>
      </c>
      <c r="S686">
        <f t="shared" si="33"/>
        <v>24.000000004889444</v>
      </c>
      <c r="T686">
        <f t="shared" si="32"/>
        <v>24</v>
      </c>
    </row>
    <row r="687" spans="1:20" hidden="1">
      <c r="A687" t="s">
        <v>401</v>
      </c>
      <c r="B687" t="s">
        <v>25</v>
      </c>
      <c r="C687" t="s">
        <v>26</v>
      </c>
      <c r="D687" t="s">
        <v>27</v>
      </c>
      <c r="E687" t="s">
        <v>21</v>
      </c>
      <c r="F687" t="s">
        <v>45</v>
      </c>
      <c r="G687">
        <v>81.680000000000007</v>
      </c>
      <c r="H687">
        <v>4</v>
      </c>
      <c r="I687">
        <v>16.335999999999999</v>
      </c>
      <c r="J687">
        <v>343.05599999999998</v>
      </c>
      <c r="K687" s="1">
        <v>43471</v>
      </c>
      <c r="L687" s="2">
        <v>0.5083333333333333</v>
      </c>
      <c r="M687" t="s">
        <v>29</v>
      </c>
      <c r="N687">
        <v>326.72000000000003</v>
      </c>
      <c r="O687">
        <v>4.7619047620000003</v>
      </c>
      <c r="P687">
        <v>16.335999999999999</v>
      </c>
      <c r="Q687">
        <v>9.1</v>
      </c>
      <c r="R687" s="3">
        <f t="shared" si="31"/>
        <v>43471.508333333331</v>
      </c>
      <c r="S687" t="str">
        <f t="shared" si="33"/>
        <v/>
      </c>
      <c r="T687" t="str">
        <f t="shared" si="32"/>
        <v/>
      </c>
    </row>
    <row r="688" spans="1:20">
      <c r="A688" t="s">
        <v>105</v>
      </c>
      <c r="B688" t="s">
        <v>25</v>
      </c>
      <c r="C688" t="s">
        <v>26</v>
      </c>
      <c r="D688" t="s">
        <v>20</v>
      </c>
      <c r="E688" t="s">
        <v>21</v>
      </c>
      <c r="F688" t="s">
        <v>43</v>
      </c>
      <c r="G688">
        <v>89.48</v>
      </c>
      <c r="H688">
        <v>10</v>
      </c>
      <c r="I688">
        <v>44.74</v>
      </c>
      <c r="J688">
        <v>939.54</v>
      </c>
      <c r="K688" s="1">
        <v>43471</v>
      </c>
      <c r="L688" s="2">
        <v>0.53194444444444444</v>
      </c>
      <c r="M688" t="s">
        <v>32</v>
      </c>
      <c r="N688">
        <v>894.8</v>
      </c>
      <c r="O688">
        <v>4.7619047620000003</v>
      </c>
      <c r="P688">
        <v>44.74</v>
      </c>
      <c r="Q688">
        <v>9.6</v>
      </c>
      <c r="R688" s="3">
        <f t="shared" si="31"/>
        <v>43471.531944444447</v>
      </c>
      <c r="S688">
        <f t="shared" si="33"/>
        <v>34.000000006053597</v>
      </c>
      <c r="T688">
        <f t="shared" si="32"/>
        <v>34</v>
      </c>
    </row>
    <row r="689" spans="1:20" hidden="1">
      <c r="A689" t="s">
        <v>70</v>
      </c>
      <c r="B689" t="s">
        <v>25</v>
      </c>
      <c r="C689" t="s">
        <v>26</v>
      </c>
      <c r="D689" t="s">
        <v>20</v>
      </c>
      <c r="E689" t="s">
        <v>21</v>
      </c>
      <c r="F689" t="s">
        <v>35</v>
      </c>
      <c r="G689">
        <v>68.12</v>
      </c>
      <c r="H689">
        <v>1</v>
      </c>
      <c r="I689">
        <v>3.4060000000000001</v>
      </c>
      <c r="J689">
        <v>71.525999999999996</v>
      </c>
      <c r="K689" s="1">
        <v>43472</v>
      </c>
      <c r="L689" s="2">
        <v>0.51944444444444449</v>
      </c>
      <c r="M689" t="s">
        <v>23</v>
      </c>
      <c r="N689">
        <v>68.12</v>
      </c>
      <c r="O689">
        <v>4.7619047620000003</v>
      </c>
      <c r="P689">
        <v>3.4060000000000001</v>
      </c>
      <c r="Q689">
        <v>6.8</v>
      </c>
      <c r="R689" s="3">
        <f t="shared" si="31"/>
        <v>43472.519444444442</v>
      </c>
      <c r="S689" t="str">
        <f t="shared" si="33"/>
        <v/>
      </c>
      <c r="T689" t="str">
        <f t="shared" si="32"/>
        <v/>
      </c>
    </row>
    <row r="690" spans="1:20">
      <c r="A690" t="s">
        <v>616</v>
      </c>
      <c r="B690" t="s">
        <v>25</v>
      </c>
      <c r="C690" t="s">
        <v>26</v>
      </c>
      <c r="D690" t="s">
        <v>27</v>
      </c>
      <c r="E690" t="s">
        <v>177</v>
      </c>
      <c r="F690" t="s">
        <v>43</v>
      </c>
      <c r="G690">
        <v>27.22</v>
      </c>
      <c r="H690">
        <v>3</v>
      </c>
      <c r="I690">
        <v>4.0830000000000002</v>
      </c>
      <c r="J690">
        <v>85.742999999999995</v>
      </c>
      <c r="K690" s="1">
        <v>43472</v>
      </c>
      <c r="L690" s="2">
        <v>0.52569444444444446</v>
      </c>
      <c r="M690" t="s">
        <v>29</v>
      </c>
      <c r="N690">
        <v>81.66</v>
      </c>
      <c r="O690">
        <v>4.7619047620000003</v>
      </c>
      <c r="P690">
        <v>4.0830000000000002</v>
      </c>
      <c r="Q690">
        <v>7.3</v>
      </c>
      <c r="R690" s="3">
        <f t="shared" si="31"/>
        <v>43472.525694444441</v>
      </c>
      <c r="S690">
        <f t="shared" si="33"/>
        <v>8.9999999979045242</v>
      </c>
      <c r="T690">
        <f t="shared" si="32"/>
        <v>9</v>
      </c>
    </row>
    <row r="691" spans="1:20">
      <c r="A691" t="s">
        <v>312</v>
      </c>
      <c r="B691" t="s">
        <v>25</v>
      </c>
      <c r="C691" t="s">
        <v>26</v>
      </c>
      <c r="D691" t="s">
        <v>20</v>
      </c>
      <c r="E691" t="s">
        <v>21</v>
      </c>
      <c r="F691" t="s">
        <v>31</v>
      </c>
      <c r="G691">
        <v>21.82</v>
      </c>
      <c r="H691">
        <v>10</v>
      </c>
      <c r="I691">
        <v>10.91</v>
      </c>
      <c r="J691">
        <v>229.11</v>
      </c>
      <c r="K691" s="1">
        <v>43472</v>
      </c>
      <c r="L691" s="2">
        <v>0.73333333333333328</v>
      </c>
      <c r="M691" t="s">
        <v>29</v>
      </c>
      <c r="N691">
        <v>218.2</v>
      </c>
      <c r="O691">
        <v>4.7619047620000003</v>
      </c>
      <c r="P691">
        <v>10.91</v>
      </c>
      <c r="Q691">
        <v>7.1</v>
      </c>
      <c r="R691" s="3">
        <f t="shared" si="31"/>
        <v>43472.73333333333</v>
      </c>
      <c r="S691">
        <f t="shared" si="33"/>
        <v>299.00000000023283</v>
      </c>
      <c r="T691">
        <f t="shared" si="32"/>
        <v>299</v>
      </c>
    </row>
    <row r="692" spans="1:20" hidden="1">
      <c r="A692" t="s">
        <v>762</v>
      </c>
      <c r="B692" t="s">
        <v>25</v>
      </c>
      <c r="C692" t="s">
        <v>26</v>
      </c>
      <c r="D692" t="s">
        <v>20</v>
      </c>
      <c r="E692" t="s">
        <v>177</v>
      </c>
      <c r="F692" t="s">
        <v>31</v>
      </c>
      <c r="G692">
        <v>55.57</v>
      </c>
      <c r="H692">
        <v>3</v>
      </c>
      <c r="I692">
        <v>8.3354999999999997</v>
      </c>
      <c r="J692">
        <v>175.0455</v>
      </c>
      <c r="K692" s="1">
        <v>43473</v>
      </c>
      <c r="L692" s="2">
        <v>0.48749999999999999</v>
      </c>
      <c r="M692" t="s">
        <v>32</v>
      </c>
      <c r="N692">
        <v>166.71</v>
      </c>
      <c r="O692">
        <v>4.7619047620000003</v>
      </c>
      <c r="P692">
        <v>8.3354999999999997</v>
      </c>
      <c r="Q692">
        <v>5.9</v>
      </c>
      <c r="R692" s="3">
        <f t="shared" si="31"/>
        <v>43473.487500000003</v>
      </c>
      <c r="S692" t="str">
        <f t="shared" si="33"/>
        <v/>
      </c>
      <c r="T692" t="str">
        <f t="shared" si="32"/>
        <v/>
      </c>
    </row>
    <row r="693" spans="1:20">
      <c r="A693" t="s">
        <v>452</v>
      </c>
      <c r="B693" t="s">
        <v>25</v>
      </c>
      <c r="C693" t="s">
        <v>26</v>
      </c>
      <c r="D693" t="s">
        <v>27</v>
      </c>
      <c r="E693" t="s">
        <v>21</v>
      </c>
      <c r="F693" t="s">
        <v>31</v>
      </c>
      <c r="G693">
        <v>45.38</v>
      </c>
      <c r="H693">
        <v>4</v>
      </c>
      <c r="I693">
        <v>9.0760000000000005</v>
      </c>
      <c r="J693">
        <v>190.596</v>
      </c>
      <c r="K693" s="1">
        <v>43473</v>
      </c>
      <c r="L693" s="2">
        <v>0.57499999999999996</v>
      </c>
      <c r="M693" t="s">
        <v>32</v>
      </c>
      <c r="N693">
        <v>181.52</v>
      </c>
      <c r="O693">
        <v>4.7619047620000003</v>
      </c>
      <c r="P693">
        <v>9.0760000000000005</v>
      </c>
      <c r="Q693">
        <v>8.6999999999999993</v>
      </c>
      <c r="R693" s="3">
        <f t="shared" si="31"/>
        <v>43473.574999999997</v>
      </c>
      <c r="S693">
        <f t="shared" si="33"/>
        <v>125.9999999916181</v>
      </c>
      <c r="T693">
        <f t="shared" si="32"/>
        <v>126</v>
      </c>
    </row>
    <row r="694" spans="1:20">
      <c r="A694" t="s">
        <v>479</v>
      </c>
      <c r="B694" t="s">
        <v>25</v>
      </c>
      <c r="C694" t="s">
        <v>26</v>
      </c>
      <c r="D694" t="s">
        <v>27</v>
      </c>
      <c r="E694" t="s">
        <v>177</v>
      </c>
      <c r="F694" t="s">
        <v>45</v>
      </c>
      <c r="G694">
        <v>12.78</v>
      </c>
      <c r="H694">
        <v>1</v>
      </c>
      <c r="I694">
        <v>0.63900000000000001</v>
      </c>
      <c r="J694">
        <v>13.419</v>
      </c>
      <c r="K694" s="1">
        <v>43473</v>
      </c>
      <c r="L694" s="2">
        <v>0.59097222222222223</v>
      </c>
      <c r="M694" t="s">
        <v>23</v>
      </c>
      <c r="N694">
        <v>12.78</v>
      </c>
      <c r="O694">
        <v>4.7619047620000003</v>
      </c>
      <c r="P694">
        <v>0.63900000000000001</v>
      </c>
      <c r="Q694">
        <v>9.5</v>
      </c>
      <c r="R694" s="3">
        <f t="shared" si="31"/>
        <v>43473.59097222222</v>
      </c>
      <c r="S694">
        <f t="shared" si="33"/>
        <v>23.000000001629815</v>
      </c>
      <c r="T694">
        <f t="shared" si="32"/>
        <v>23</v>
      </c>
    </row>
    <row r="695" spans="1:20">
      <c r="A695" t="s">
        <v>163</v>
      </c>
      <c r="B695" t="s">
        <v>25</v>
      </c>
      <c r="C695" t="s">
        <v>26</v>
      </c>
      <c r="D695" t="s">
        <v>20</v>
      </c>
      <c r="E695" t="s">
        <v>21</v>
      </c>
      <c r="F695" t="s">
        <v>43</v>
      </c>
      <c r="G695">
        <v>68.540000000000006</v>
      </c>
      <c r="H695">
        <v>8</v>
      </c>
      <c r="I695">
        <v>27.416</v>
      </c>
      <c r="J695">
        <v>575.73599999999999</v>
      </c>
      <c r="K695" s="1">
        <v>43473</v>
      </c>
      <c r="L695" s="2">
        <v>0.6645833333333333</v>
      </c>
      <c r="M695" t="s">
        <v>23</v>
      </c>
      <c r="N695">
        <v>548.32000000000005</v>
      </c>
      <c r="O695">
        <v>4.7619047620000003</v>
      </c>
      <c r="P695">
        <v>27.416</v>
      </c>
      <c r="Q695">
        <v>8.5</v>
      </c>
      <c r="R695" s="3">
        <f t="shared" si="31"/>
        <v>43473.664583333331</v>
      </c>
      <c r="S695">
        <f t="shared" si="33"/>
        <v>105.99999999976717</v>
      </c>
      <c r="T695">
        <f t="shared" si="32"/>
        <v>106</v>
      </c>
    </row>
    <row r="696" spans="1:20">
      <c r="A696" t="s">
        <v>162</v>
      </c>
      <c r="B696" t="s">
        <v>25</v>
      </c>
      <c r="C696" t="s">
        <v>26</v>
      </c>
      <c r="D696" t="s">
        <v>20</v>
      </c>
      <c r="E696" t="s">
        <v>21</v>
      </c>
      <c r="F696" t="s">
        <v>45</v>
      </c>
      <c r="G696">
        <v>31.73</v>
      </c>
      <c r="H696">
        <v>9</v>
      </c>
      <c r="I696">
        <v>14.278499999999999</v>
      </c>
      <c r="J696">
        <v>299.8485</v>
      </c>
      <c r="K696" s="1">
        <v>43473</v>
      </c>
      <c r="L696" s="2">
        <v>0.67847222222222225</v>
      </c>
      <c r="M696" t="s">
        <v>32</v>
      </c>
      <c r="N696">
        <v>285.57</v>
      </c>
      <c r="O696">
        <v>4.7619047620000003</v>
      </c>
      <c r="P696">
        <v>14.278499999999999</v>
      </c>
      <c r="Q696">
        <v>5.9</v>
      </c>
      <c r="R696" s="3">
        <f t="shared" si="31"/>
        <v>43473.678472222222</v>
      </c>
      <c r="S696">
        <f t="shared" si="33"/>
        <v>20.000000002328306</v>
      </c>
      <c r="T696">
        <f t="shared" si="32"/>
        <v>20</v>
      </c>
    </row>
    <row r="697" spans="1:20">
      <c r="A697" t="s">
        <v>904</v>
      </c>
      <c r="B697" t="s">
        <v>25</v>
      </c>
      <c r="C697" t="s">
        <v>26</v>
      </c>
      <c r="D697" t="s">
        <v>20</v>
      </c>
      <c r="E697" t="s">
        <v>177</v>
      </c>
      <c r="F697" t="s">
        <v>43</v>
      </c>
      <c r="G697">
        <v>24.31</v>
      </c>
      <c r="H697">
        <v>3</v>
      </c>
      <c r="I697">
        <v>3.6465000000000001</v>
      </c>
      <c r="J697">
        <v>76.576499999999996</v>
      </c>
      <c r="K697" s="1">
        <v>43473</v>
      </c>
      <c r="L697" s="2">
        <v>0.79791666666666672</v>
      </c>
      <c r="M697" t="s">
        <v>32</v>
      </c>
      <c r="N697">
        <v>72.930000000000007</v>
      </c>
      <c r="O697">
        <v>4.7619047620000003</v>
      </c>
      <c r="P697">
        <v>3.6465000000000001</v>
      </c>
      <c r="Q697">
        <v>4.3</v>
      </c>
      <c r="R697" s="3">
        <f t="shared" si="31"/>
        <v>43473.79791666667</v>
      </c>
      <c r="S697">
        <f t="shared" si="33"/>
        <v>172.0000000053551</v>
      </c>
      <c r="T697">
        <f t="shared" si="32"/>
        <v>172</v>
      </c>
    </row>
    <row r="698" spans="1:20">
      <c r="A698" t="s">
        <v>884</v>
      </c>
      <c r="B698" t="s">
        <v>25</v>
      </c>
      <c r="C698" t="s">
        <v>26</v>
      </c>
      <c r="D698" t="s">
        <v>20</v>
      </c>
      <c r="E698" t="s">
        <v>21</v>
      </c>
      <c r="F698" t="s">
        <v>43</v>
      </c>
      <c r="G698">
        <v>72.88</v>
      </c>
      <c r="H698">
        <v>9</v>
      </c>
      <c r="I698">
        <v>32.795999999999999</v>
      </c>
      <c r="J698">
        <v>688.71600000000001</v>
      </c>
      <c r="K698" s="1">
        <v>43473</v>
      </c>
      <c r="L698" s="2">
        <v>0.81805555555555554</v>
      </c>
      <c r="M698" t="s">
        <v>29</v>
      </c>
      <c r="N698">
        <v>655.92</v>
      </c>
      <c r="O698">
        <v>4.7619047620000003</v>
      </c>
      <c r="P698">
        <v>32.795999999999999</v>
      </c>
      <c r="Q698">
        <v>4</v>
      </c>
      <c r="R698" s="3">
        <f t="shared" si="31"/>
        <v>43473.818055555559</v>
      </c>
      <c r="S698">
        <f t="shared" si="33"/>
        <v>29.000000000232831</v>
      </c>
      <c r="T698">
        <f t="shared" si="32"/>
        <v>29</v>
      </c>
    </row>
    <row r="699" spans="1:20">
      <c r="A699" t="s">
        <v>640</v>
      </c>
      <c r="B699" t="s">
        <v>25</v>
      </c>
      <c r="C699" t="s">
        <v>26</v>
      </c>
      <c r="D699" t="s">
        <v>20</v>
      </c>
      <c r="E699" t="s">
        <v>21</v>
      </c>
      <c r="F699" t="s">
        <v>45</v>
      </c>
      <c r="G699">
        <v>51.89</v>
      </c>
      <c r="H699">
        <v>7</v>
      </c>
      <c r="I699">
        <v>18.1615</v>
      </c>
      <c r="J699">
        <v>381.39150000000001</v>
      </c>
      <c r="K699" s="1">
        <v>43473</v>
      </c>
      <c r="L699" s="2">
        <v>0.83888888888888891</v>
      </c>
      <c r="M699" t="s">
        <v>29</v>
      </c>
      <c r="N699">
        <v>363.23</v>
      </c>
      <c r="O699">
        <v>4.7619047620000003</v>
      </c>
      <c r="P699">
        <v>18.1615</v>
      </c>
      <c r="Q699">
        <v>4.5</v>
      </c>
      <c r="R699" s="3">
        <f t="shared" si="31"/>
        <v>43473.838888888888</v>
      </c>
      <c r="S699">
        <f t="shared" si="33"/>
        <v>29.999999993015081</v>
      </c>
      <c r="T699">
        <f t="shared" si="32"/>
        <v>30</v>
      </c>
    </row>
    <row r="700" spans="1:20" hidden="1">
      <c r="A700" t="s">
        <v>1020</v>
      </c>
      <c r="B700" t="s">
        <v>25</v>
      </c>
      <c r="C700" t="s">
        <v>26</v>
      </c>
      <c r="D700" t="s">
        <v>27</v>
      </c>
      <c r="E700" t="s">
        <v>177</v>
      </c>
      <c r="F700" t="s">
        <v>28</v>
      </c>
      <c r="G700">
        <v>96.37</v>
      </c>
      <c r="H700">
        <v>7</v>
      </c>
      <c r="I700">
        <v>33.729500000000002</v>
      </c>
      <c r="J700">
        <v>708.31949999999995</v>
      </c>
      <c r="K700" s="1">
        <v>43474</v>
      </c>
      <c r="L700" s="2">
        <v>0.4861111111111111</v>
      </c>
      <c r="M700" t="s">
        <v>29</v>
      </c>
      <c r="N700">
        <v>674.59</v>
      </c>
      <c r="O700">
        <v>4.7619047620000003</v>
      </c>
      <c r="P700">
        <v>33.729500000000002</v>
      </c>
      <c r="Q700">
        <v>6</v>
      </c>
      <c r="R700" s="3">
        <f t="shared" si="31"/>
        <v>43474.486111111109</v>
      </c>
      <c r="S700" t="str">
        <f t="shared" si="33"/>
        <v/>
      </c>
      <c r="T700" t="str">
        <f t="shared" si="32"/>
        <v/>
      </c>
    </row>
    <row r="701" spans="1:20">
      <c r="A701" t="s">
        <v>994</v>
      </c>
      <c r="B701" t="s">
        <v>25</v>
      </c>
      <c r="C701" t="s">
        <v>26</v>
      </c>
      <c r="D701" t="s">
        <v>27</v>
      </c>
      <c r="E701" t="s">
        <v>21</v>
      </c>
      <c r="F701" t="s">
        <v>31</v>
      </c>
      <c r="G701">
        <v>15.8</v>
      </c>
      <c r="H701">
        <v>10</v>
      </c>
      <c r="I701">
        <v>7.9</v>
      </c>
      <c r="J701">
        <v>165.9</v>
      </c>
      <c r="K701" s="1">
        <v>43474</v>
      </c>
      <c r="L701" s="2">
        <v>0.50486111111111109</v>
      </c>
      <c r="M701" t="s">
        <v>29</v>
      </c>
      <c r="N701">
        <v>158</v>
      </c>
      <c r="O701">
        <v>4.7619047620000003</v>
      </c>
      <c r="P701">
        <v>7.9</v>
      </c>
      <c r="Q701">
        <v>7.8</v>
      </c>
      <c r="R701" s="3">
        <f t="shared" si="31"/>
        <v>43474.504861111112</v>
      </c>
      <c r="S701">
        <f t="shared" si="33"/>
        <v>27.000000004190952</v>
      </c>
      <c r="T701">
        <f t="shared" si="32"/>
        <v>27</v>
      </c>
    </row>
    <row r="702" spans="1:20">
      <c r="A702" t="s">
        <v>393</v>
      </c>
      <c r="B702" t="s">
        <v>25</v>
      </c>
      <c r="C702" t="s">
        <v>26</v>
      </c>
      <c r="D702" t="s">
        <v>27</v>
      </c>
      <c r="E702" t="s">
        <v>21</v>
      </c>
      <c r="F702" t="s">
        <v>35</v>
      </c>
      <c r="G702">
        <v>95.44</v>
      </c>
      <c r="H702">
        <v>10</v>
      </c>
      <c r="I702">
        <v>47.72</v>
      </c>
      <c r="J702">
        <v>1002.12</v>
      </c>
      <c r="K702" s="1">
        <v>43474</v>
      </c>
      <c r="L702" s="2">
        <v>0.57291666666666663</v>
      </c>
      <c r="M702" t="s">
        <v>29</v>
      </c>
      <c r="N702">
        <v>954.4</v>
      </c>
      <c r="O702">
        <v>4.7619047620000003</v>
      </c>
      <c r="P702">
        <v>47.72</v>
      </c>
      <c r="Q702">
        <v>5.2</v>
      </c>
      <c r="R702" s="3">
        <f t="shared" si="31"/>
        <v>43474.572916666664</v>
      </c>
      <c r="S702">
        <f t="shared" si="33"/>
        <v>97.999999994644895</v>
      </c>
      <c r="T702">
        <f t="shared" si="32"/>
        <v>98</v>
      </c>
    </row>
    <row r="703" spans="1:20">
      <c r="A703" t="s">
        <v>718</v>
      </c>
      <c r="B703" t="s">
        <v>25</v>
      </c>
      <c r="C703" t="s">
        <v>26</v>
      </c>
      <c r="D703" t="s">
        <v>27</v>
      </c>
      <c r="E703" t="s">
        <v>21</v>
      </c>
      <c r="F703" t="s">
        <v>45</v>
      </c>
      <c r="G703">
        <v>49.32</v>
      </c>
      <c r="H703">
        <v>6</v>
      </c>
      <c r="I703">
        <v>14.795999999999999</v>
      </c>
      <c r="J703">
        <v>310.71600000000001</v>
      </c>
      <c r="K703" s="1">
        <v>43474</v>
      </c>
      <c r="L703" s="2">
        <v>0.57361111111111107</v>
      </c>
      <c r="M703" t="s">
        <v>23</v>
      </c>
      <c r="N703">
        <v>295.92</v>
      </c>
      <c r="O703">
        <v>4.7619047620000003</v>
      </c>
      <c r="P703">
        <v>14.795999999999999</v>
      </c>
      <c r="Q703">
        <v>7.1</v>
      </c>
      <c r="R703" s="3">
        <f t="shared" si="31"/>
        <v>43474.573611111111</v>
      </c>
      <c r="S703">
        <f t="shared" si="33"/>
        <v>1.000000003259629</v>
      </c>
      <c r="T703">
        <f t="shared" si="32"/>
        <v>1</v>
      </c>
    </row>
    <row r="704" spans="1:20">
      <c r="A704" t="s">
        <v>111</v>
      </c>
      <c r="B704" t="s">
        <v>25</v>
      </c>
      <c r="C704" t="s">
        <v>26</v>
      </c>
      <c r="D704" t="s">
        <v>20</v>
      </c>
      <c r="E704" t="s">
        <v>21</v>
      </c>
      <c r="F704" t="s">
        <v>45</v>
      </c>
      <c r="G704">
        <v>49.04</v>
      </c>
      <c r="H704">
        <v>9</v>
      </c>
      <c r="I704">
        <v>22.068000000000001</v>
      </c>
      <c r="J704">
        <v>463.428</v>
      </c>
      <c r="K704" s="1">
        <v>43474</v>
      </c>
      <c r="L704" s="2">
        <v>0.59722222222222221</v>
      </c>
      <c r="M704" t="s">
        <v>32</v>
      </c>
      <c r="N704">
        <v>441.36</v>
      </c>
      <c r="O704">
        <v>4.7619047620000003</v>
      </c>
      <c r="P704">
        <v>22.068000000000001</v>
      </c>
      <c r="Q704">
        <v>8.6</v>
      </c>
      <c r="R704" s="3">
        <f t="shared" si="31"/>
        <v>43474.597222222219</v>
      </c>
      <c r="S704">
        <f t="shared" si="33"/>
        <v>33.999999995576218</v>
      </c>
      <c r="T704">
        <f t="shared" si="32"/>
        <v>34</v>
      </c>
    </row>
    <row r="705" spans="1:20" hidden="1">
      <c r="A705" t="s">
        <v>959</v>
      </c>
      <c r="B705" t="s">
        <v>25</v>
      </c>
      <c r="C705" t="s">
        <v>26</v>
      </c>
      <c r="D705" t="s">
        <v>27</v>
      </c>
      <c r="E705" t="s">
        <v>21</v>
      </c>
      <c r="F705" t="s">
        <v>35</v>
      </c>
      <c r="G705">
        <v>83.14</v>
      </c>
      <c r="H705">
        <v>7</v>
      </c>
      <c r="I705">
        <v>29.099</v>
      </c>
      <c r="J705">
        <v>611.07899999999995</v>
      </c>
      <c r="K705" s="1">
        <v>43475</v>
      </c>
      <c r="L705" s="2">
        <v>0.43819444444444444</v>
      </c>
      <c r="M705" t="s">
        <v>32</v>
      </c>
      <c r="N705">
        <v>581.98</v>
      </c>
      <c r="O705">
        <v>4.7619047620000003</v>
      </c>
      <c r="P705">
        <v>29.099</v>
      </c>
      <c r="Q705">
        <v>6.6</v>
      </c>
      <c r="R705" s="3">
        <f t="shared" si="31"/>
        <v>43475.438194444447</v>
      </c>
      <c r="S705" t="str">
        <f t="shared" si="33"/>
        <v/>
      </c>
      <c r="T705" t="str">
        <f t="shared" si="32"/>
        <v/>
      </c>
    </row>
    <row r="706" spans="1:20">
      <c r="A706" t="s">
        <v>353</v>
      </c>
      <c r="B706" t="s">
        <v>25</v>
      </c>
      <c r="C706" t="s">
        <v>26</v>
      </c>
      <c r="D706" t="s">
        <v>20</v>
      </c>
      <c r="E706" t="s">
        <v>177</v>
      </c>
      <c r="F706" t="s">
        <v>28</v>
      </c>
      <c r="G706">
        <v>74.790000000000006</v>
      </c>
      <c r="H706">
        <v>5</v>
      </c>
      <c r="I706">
        <v>18.697500000000002</v>
      </c>
      <c r="J706">
        <v>392.64749999999998</v>
      </c>
      <c r="K706" s="1">
        <v>43475</v>
      </c>
      <c r="L706" s="2">
        <v>0.48194444444444445</v>
      </c>
      <c r="M706" t="s">
        <v>29</v>
      </c>
      <c r="N706">
        <v>373.95</v>
      </c>
      <c r="O706">
        <v>4.7619047620000003</v>
      </c>
      <c r="P706">
        <v>18.697500000000002</v>
      </c>
      <c r="Q706">
        <v>4.9000000000000004</v>
      </c>
      <c r="R706" s="3">
        <f t="shared" ref="R706:R769" si="34">K706+L706</f>
        <v>43475.481944444444</v>
      </c>
      <c r="S706">
        <f t="shared" si="33"/>
        <v>62.999999995809048</v>
      </c>
      <c r="T706">
        <f t="shared" si="32"/>
        <v>63</v>
      </c>
    </row>
    <row r="707" spans="1:20">
      <c r="A707" t="s">
        <v>992</v>
      </c>
      <c r="B707" t="s">
        <v>25</v>
      </c>
      <c r="C707" t="s">
        <v>26</v>
      </c>
      <c r="D707" t="s">
        <v>20</v>
      </c>
      <c r="E707" t="s">
        <v>177</v>
      </c>
      <c r="F707" t="s">
        <v>43</v>
      </c>
      <c r="G707">
        <v>50.49</v>
      </c>
      <c r="H707">
        <v>9</v>
      </c>
      <c r="I707">
        <v>22.720500000000001</v>
      </c>
      <c r="J707">
        <v>477.13049999999998</v>
      </c>
      <c r="K707" s="1">
        <v>43475</v>
      </c>
      <c r="L707" s="2">
        <v>0.71944444444444444</v>
      </c>
      <c r="M707" t="s">
        <v>29</v>
      </c>
      <c r="N707">
        <v>454.41</v>
      </c>
      <c r="O707">
        <v>4.7619047620000003</v>
      </c>
      <c r="P707">
        <v>22.720500000000001</v>
      </c>
      <c r="Q707">
        <v>5.4</v>
      </c>
      <c r="R707" s="3">
        <f t="shared" si="34"/>
        <v>43475.719444444447</v>
      </c>
      <c r="S707">
        <f t="shared" si="33"/>
        <v>342.00000000419095</v>
      </c>
      <c r="T707">
        <f t="shared" ref="T707:T770" si="35">IF(S707="","",ROUND(S707,2))</f>
        <v>342</v>
      </c>
    </row>
    <row r="708" spans="1:20" hidden="1">
      <c r="A708" t="s">
        <v>261</v>
      </c>
      <c r="B708" t="s">
        <v>25</v>
      </c>
      <c r="C708" t="s">
        <v>26</v>
      </c>
      <c r="D708" t="s">
        <v>20</v>
      </c>
      <c r="E708" t="s">
        <v>21</v>
      </c>
      <c r="F708" t="s">
        <v>35</v>
      </c>
      <c r="G708">
        <v>87.16</v>
      </c>
      <c r="H708">
        <v>2</v>
      </c>
      <c r="I708">
        <v>8.7159999999999993</v>
      </c>
      <c r="J708">
        <v>183.036</v>
      </c>
      <c r="K708" s="1">
        <v>43476</v>
      </c>
      <c r="L708" s="2">
        <v>0.60347222222222219</v>
      </c>
      <c r="M708" t="s">
        <v>32</v>
      </c>
      <c r="N708">
        <v>174.32</v>
      </c>
      <c r="O708">
        <v>4.7619047620000003</v>
      </c>
      <c r="P708">
        <v>8.7159999999999993</v>
      </c>
      <c r="Q708">
        <v>9.6999999999999993</v>
      </c>
      <c r="R708" s="3">
        <f t="shared" si="34"/>
        <v>43476.603472222225</v>
      </c>
      <c r="S708" t="str">
        <f t="shared" si="33"/>
        <v/>
      </c>
      <c r="T708" t="str">
        <f t="shared" si="35"/>
        <v/>
      </c>
    </row>
    <row r="709" spans="1:20">
      <c r="A709" t="s">
        <v>759</v>
      </c>
      <c r="B709" t="s">
        <v>25</v>
      </c>
      <c r="C709" t="s">
        <v>26</v>
      </c>
      <c r="D709" t="s">
        <v>20</v>
      </c>
      <c r="E709" t="s">
        <v>21</v>
      </c>
      <c r="F709" t="s">
        <v>43</v>
      </c>
      <c r="G709">
        <v>36.770000000000003</v>
      </c>
      <c r="H709">
        <v>7</v>
      </c>
      <c r="I709">
        <v>12.8695</v>
      </c>
      <c r="J709">
        <v>270.2595</v>
      </c>
      <c r="K709" s="1">
        <v>43476</v>
      </c>
      <c r="L709" s="2">
        <v>0.84027777777777779</v>
      </c>
      <c r="M709" t="s">
        <v>29</v>
      </c>
      <c r="N709">
        <v>257.39</v>
      </c>
      <c r="O709">
        <v>4.7619047620000003</v>
      </c>
      <c r="P709">
        <v>12.8695</v>
      </c>
      <c r="Q709">
        <v>7.4</v>
      </c>
      <c r="R709" s="3">
        <f t="shared" si="34"/>
        <v>43476.840277777781</v>
      </c>
      <c r="S709">
        <f t="shared" si="33"/>
        <v>341.00000000093132</v>
      </c>
      <c r="T709">
        <f t="shared" si="35"/>
        <v>341</v>
      </c>
    </row>
    <row r="710" spans="1:20" hidden="1">
      <c r="A710" t="s">
        <v>156</v>
      </c>
      <c r="B710" t="s">
        <v>25</v>
      </c>
      <c r="C710" t="s">
        <v>26</v>
      </c>
      <c r="D710" t="s">
        <v>20</v>
      </c>
      <c r="E710" t="s">
        <v>21</v>
      </c>
      <c r="F710" t="s">
        <v>35</v>
      </c>
      <c r="G710">
        <v>57.12</v>
      </c>
      <c r="H710">
        <v>7</v>
      </c>
      <c r="I710">
        <v>19.992000000000001</v>
      </c>
      <c r="J710">
        <v>419.83199999999999</v>
      </c>
      <c r="K710" s="1">
        <v>43477</v>
      </c>
      <c r="L710" s="2">
        <v>0.50138888888888888</v>
      </c>
      <c r="M710" t="s">
        <v>32</v>
      </c>
      <c r="N710">
        <v>399.84</v>
      </c>
      <c r="O710">
        <v>4.7619047620000003</v>
      </c>
      <c r="P710">
        <v>19.992000000000001</v>
      </c>
      <c r="Q710">
        <v>6.5</v>
      </c>
      <c r="R710" s="3">
        <f t="shared" si="34"/>
        <v>43477.501388888886</v>
      </c>
      <c r="S710" t="str">
        <f t="shared" si="33"/>
        <v/>
      </c>
      <c r="T710" t="str">
        <f t="shared" si="35"/>
        <v/>
      </c>
    </row>
    <row r="711" spans="1:20">
      <c r="A711" t="s">
        <v>735</v>
      </c>
      <c r="B711" t="s">
        <v>25</v>
      </c>
      <c r="C711" t="s">
        <v>26</v>
      </c>
      <c r="D711" t="s">
        <v>27</v>
      </c>
      <c r="E711" t="s">
        <v>177</v>
      </c>
      <c r="F711" t="s">
        <v>31</v>
      </c>
      <c r="G711">
        <v>97.5</v>
      </c>
      <c r="H711">
        <v>10</v>
      </c>
      <c r="I711">
        <v>48.75</v>
      </c>
      <c r="J711">
        <v>1023.75</v>
      </c>
      <c r="K711" s="1">
        <v>43477</v>
      </c>
      <c r="L711" s="2">
        <v>0.6791666666666667</v>
      </c>
      <c r="M711" t="s">
        <v>23</v>
      </c>
      <c r="N711">
        <v>975</v>
      </c>
      <c r="O711">
        <v>4.7619047620000003</v>
      </c>
      <c r="P711">
        <v>48.75</v>
      </c>
      <c r="Q711">
        <v>8</v>
      </c>
      <c r="R711" s="3">
        <f t="shared" si="34"/>
        <v>43477.679166666669</v>
      </c>
      <c r="S711">
        <f t="shared" si="33"/>
        <v>256.00000000675209</v>
      </c>
      <c r="T711">
        <f t="shared" si="35"/>
        <v>256</v>
      </c>
    </row>
    <row r="712" spans="1:20" hidden="1">
      <c r="A712" t="s">
        <v>989</v>
      </c>
      <c r="B712" t="s">
        <v>25</v>
      </c>
      <c r="C712" t="s">
        <v>26</v>
      </c>
      <c r="D712" t="s">
        <v>20</v>
      </c>
      <c r="E712" t="s">
        <v>21</v>
      </c>
      <c r="F712" t="s">
        <v>43</v>
      </c>
      <c r="G712">
        <v>21.04</v>
      </c>
      <c r="H712">
        <v>4</v>
      </c>
      <c r="I712">
        <v>4.2080000000000002</v>
      </c>
      <c r="J712">
        <v>88.367999999999995</v>
      </c>
      <c r="K712" s="1">
        <v>43478</v>
      </c>
      <c r="L712" s="2">
        <v>0.58194444444444449</v>
      </c>
      <c r="M712" t="s">
        <v>29</v>
      </c>
      <c r="N712">
        <v>84.16</v>
      </c>
      <c r="O712">
        <v>4.7619047620000003</v>
      </c>
      <c r="P712">
        <v>4.2080000000000002</v>
      </c>
      <c r="Q712">
        <v>7.6</v>
      </c>
      <c r="R712" s="3">
        <f t="shared" si="34"/>
        <v>43478.581944444442</v>
      </c>
      <c r="S712" t="str">
        <f t="shared" si="33"/>
        <v/>
      </c>
      <c r="T712" t="str">
        <f t="shared" si="35"/>
        <v/>
      </c>
    </row>
    <row r="713" spans="1:20">
      <c r="A713" t="s">
        <v>110</v>
      </c>
      <c r="B713" t="s">
        <v>25</v>
      </c>
      <c r="C713" t="s">
        <v>26</v>
      </c>
      <c r="D713" t="s">
        <v>20</v>
      </c>
      <c r="E713" t="s">
        <v>21</v>
      </c>
      <c r="F713" t="s">
        <v>28</v>
      </c>
      <c r="G713">
        <v>41.65</v>
      </c>
      <c r="H713">
        <v>10</v>
      </c>
      <c r="I713">
        <v>20.824999999999999</v>
      </c>
      <c r="J713">
        <v>437.32499999999999</v>
      </c>
      <c r="K713" s="1">
        <v>43478</v>
      </c>
      <c r="L713" s="2">
        <v>0.71111111111111114</v>
      </c>
      <c r="M713" t="s">
        <v>32</v>
      </c>
      <c r="N713">
        <v>416.5</v>
      </c>
      <c r="O713">
        <v>4.7619047620000003</v>
      </c>
      <c r="P713">
        <v>20.824999999999999</v>
      </c>
      <c r="Q713">
        <v>5.4</v>
      </c>
      <c r="R713" s="3">
        <f t="shared" si="34"/>
        <v>43478.711111111108</v>
      </c>
      <c r="S713">
        <f t="shared" si="33"/>
        <v>185.99999999860302</v>
      </c>
      <c r="T713">
        <f t="shared" si="35"/>
        <v>186</v>
      </c>
    </row>
    <row r="714" spans="1:20">
      <c r="A714" t="s">
        <v>231</v>
      </c>
      <c r="B714" t="s">
        <v>25</v>
      </c>
      <c r="C714" t="s">
        <v>26</v>
      </c>
      <c r="D714" t="s">
        <v>20</v>
      </c>
      <c r="E714" t="s">
        <v>21</v>
      </c>
      <c r="F714" t="s">
        <v>45</v>
      </c>
      <c r="G714">
        <v>74.290000000000006</v>
      </c>
      <c r="H714">
        <v>1</v>
      </c>
      <c r="I714">
        <v>3.7145000000000001</v>
      </c>
      <c r="J714">
        <v>78.004499999999993</v>
      </c>
      <c r="K714" s="1">
        <v>43478</v>
      </c>
      <c r="L714" s="2">
        <v>0.8125</v>
      </c>
      <c r="M714" t="s">
        <v>29</v>
      </c>
      <c r="N714">
        <v>74.290000000000006</v>
      </c>
      <c r="O714">
        <v>4.7619047620000003</v>
      </c>
      <c r="P714">
        <v>3.7145000000000001</v>
      </c>
      <c r="Q714">
        <v>5</v>
      </c>
      <c r="R714" s="3">
        <f t="shared" si="34"/>
        <v>43478.8125</v>
      </c>
      <c r="S714">
        <f t="shared" si="33"/>
        <v>146.00000000442378</v>
      </c>
      <c r="T714">
        <f t="shared" si="35"/>
        <v>146</v>
      </c>
    </row>
    <row r="715" spans="1:20" hidden="1">
      <c r="A715" t="s">
        <v>238</v>
      </c>
      <c r="B715" t="s">
        <v>25</v>
      </c>
      <c r="C715" t="s">
        <v>26</v>
      </c>
      <c r="D715" t="s">
        <v>27</v>
      </c>
      <c r="E715" t="s">
        <v>177</v>
      </c>
      <c r="F715" t="s">
        <v>28</v>
      </c>
      <c r="G715">
        <v>61.41</v>
      </c>
      <c r="H715">
        <v>7</v>
      </c>
      <c r="I715">
        <v>21.493500000000001</v>
      </c>
      <c r="J715">
        <v>451.36349999999999</v>
      </c>
      <c r="K715" s="1">
        <v>43479</v>
      </c>
      <c r="L715" s="2">
        <v>0.41805555555555557</v>
      </c>
      <c r="M715" t="s">
        <v>29</v>
      </c>
      <c r="N715">
        <v>429.87</v>
      </c>
      <c r="O715">
        <v>4.7619047620000003</v>
      </c>
      <c r="P715">
        <v>21.493500000000001</v>
      </c>
      <c r="Q715">
        <v>9.8000000000000007</v>
      </c>
      <c r="R715" s="3">
        <f t="shared" si="34"/>
        <v>43479.418055555558</v>
      </c>
      <c r="S715" t="str">
        <f t="shared" si="33"/>
        <v/>
      </c>
      <c r="T715" t="str">
        <f t="shared" si="35"/>
        <v/>
      </c>
    </row>
    <row r="716" spans="1:20">
      <c r="A716" t="s">
        <v>824</v>
      </c>
      <c r="B716" t="s">
        <v>25</v>
      </c>
      <c r="C716" t="s">
        <v>26</v>
      </c>
      <c r="D716" t="s">
        <v>20</v>
      </c>
      <c r="E716" t="s">
        <v>177</v>
      </c>
      <c r="F716" t="s">
        <v>22</v>
      </c>
      <c r="G716">
        <v>60.47</v>
      </c>
      <c r="H716">
        <v>3</v>
      </c>
      <c r="I716">
        <v>9.0704999999999991</v>
      </c>
      <c r="J716">
        <v>190.48050000000001</v>
      </c>
      <c r="K716" s="1">
        <v>43479</v>
      </c>
      <c r="L716" s="2">
        <v>0.4548611111111111</v>
      </c>
      <c r="M716" t="s">
        <v>32</v>
      </c>
      <c r="N716">
        <v>181.41</v>
      </c>
      <c r="O716">
        <v>4.7619047620000003</v>
      </c>
      <c r="P716">
        <v>9.0704999999999991</v>
      </c>
      <c r="Q716">
        <v>5.6</v>
      </c>
      <c r="R716" s="3">
        <f t="shared" si="34"/>
        <v>43479.454861111109</v>
      </c>
      <c r="S716">
        <f t="shared" si="33"/>
        <v>52.999999994644895</v>
      </c>
      <c r="T716">
        <f t="shared" si="35"/>
        <v>53</v>
      </c>
    </row>
    <row r="717" spans="1:20">
      <c r="A717" t="s">
        <v>936</v>
      </c>
      <c r="B717" t="s">
        <v>25</v>
      </c>
      <c r="C717" t="s">
        <v>26</v>
      </c>
      <c r="D717" t="s">
        <v>20</v>
      </c>
      <c r="E717" t="s">
        <v>21</v>
      </c>
      <c r="F717" t="s">
        <v>28</v>
      </c>
      <c r="G717">
        <v>44.84</v>
      </c>
      <c r="H717">
        <v>9</v>
      </c>
      <c r="I717">
        <v>20.178000000000001</v>
      </c>
      <c r="J717">
        <v>423.738</v>
      </c>
      <c r="K717" s="1">
        <v>43479</v>
      </c>
      <c r="L717" s="2">
        <v>0.58333333333333337</v>
      </c>
      <c r="M717" t="s">
        <v>32</v>
      </c>
      <c r="N717">
        <v>403.56</v>
      </c>
      <c r="O717">
        <v>4.7619047620000003</v>
      </c>
      <c r="P717">
        <v>20.178000000000001</v>
      </c>
      <c r="Q717">
        <v>7.5</v>
      </c>
      <c r="R717" s="3">
        <f t="shared" si="34"/>
        <v>43479.583333333336</v>
      </c>
      <c r="S717">
        <f t="shared" si="33"/>
        <v>185.00000000582077</v>
      </c>
      <c r="T717">
        <f t="shared" si="35"/>
        <v>185</v>
      </c>
    </row>
    <row r="718" spans="1:20">
      <c r="A718" t="s">
        <v>613</v>
      </c>
      <c r="B718" t="s">
        <v>25</v>
      </c>
      <c r="C718" t="s">
        <v>26</v>
      </c>
      <c r="D718" t="s">
        <v>27</v>
      </c>
      <c r="E718" t="s">
        <v>177</v>
      </c>
      <c r="F718" t="s">
        <v>43</v>
      </c>
      <c r="G718">
        <v>31.77</v>
      </c>
      <c r="H718">
        <v>4</v>
      </c>
      <c r="I718">
        <v>6.3540000000000001</v>
      </c>
      <c r="J718">
        <v>133.434</v>
      </c>
      <c r="K718" s="1">
        <v>43479</v>
      </c>
      <c r="L718" s="2">
        <v>0.61319444444444449</v>
      </c>
      <c r="M718" t="s">
        <v>23</v>
      </c>
      <c r="N718">
        <v>127.08</v>
      </c>
      <c r="O718">
        <v>4.7619047620000003</v>
      </c>
      <c r="P718">
        <v>6.3540000000000001</v>
      </c>
      <c r="Q718">
        <v>6.2</v>
      </c>
      <c r="R718" s="3">
        <f t="shared" si="34"/>
        <v>43479.613194444442</v>
      </c>
      <c r="S718">
        <f t="shared" si="33"/>
        <v>42.999999993480742</v>
      </c>
      <c r="T718">
        <f t="shared" si="35"/>
        <v>43</v>
      </c>
    </row>
    <row r="719" spans="1:20">
      <c r="A719" t="s">
        <v>777</v>
      </c>
      <c r="B719" t="s">
        <v>25</v>
      </c>
      <c r="C719" t="s">
        <v>26</v>
      </c>
      <c r="D719" t="s">
        <v>27</v>
      </c>
      <c r="E719" t="s">
        <v>177</v>
      </c>
      <c r="F719" t="s">
        <v>43</v>
      </c>
      <c r="G719">
        <v>84.83</v>
      </c>
      <c r="H719">
        <v>1</v>
      </c>
      <c r="I719">
        <v>4.2415000000000003</v>
      </c>
      <c r="J719">
        <v>89.0715</v>
      </c>
      <c r="K719" s="1">
        <v>43479</v>
      </c>
      <c r="L719" s="2">
        <v>0.63888888888888884</v>
      </c>
      <c r="M719" t="s">
        <v>23</v>
      </c>
      <c r="N719">
        <v>84.83</v>
      </c>
      <c r="O719">
        <v>4.7619047620000003</v>
      </c>
      <c r="P719">
        <v>4.2415000000000003</v>
      </c>
      <c r="Q719">
        <v>8.8000000000000007</v>
      </c>
      <c r="R719" s="3">
        <f t="shared" si="34"/>
        <v>43479.638888888891</v>
      </c>
      <c r="S719">
        <f t="shared" si="33"/>
        <v>37.000000005355105</v>
      </c>
      <c r="T719">
        <f t="shared" si="35"/>
        <v>37</v>
      </c>
    </row>
    <row r="720" spans="1:20">
      <c r="A720" t="s">
        <v>888</v>
      </c>
      <c r="B720" t="s">
        <v>25</v>
      </c>
      <c r="C720" t="s">
        <v>26</v>
      </c>
      <c r="D720" t="s">
        <v>27</v>
      </c>
      <c r="E720" t="s">
        <v>177</v>
      </c>
      <c r="F720" t="s">
        <v>22</v>
      </c>
      <c r="G720">
        <v>53.19</v>
      </c>
      <c r="H720">
        <v>7</v>
      </c>
      <c r="I720">
        <v>18.616499999999998</v>
      </c>
      <c r="J720">
        <v>390.94650000000001</v>
      </c>
      <c r="K720" s="1">
        <v>43479</v>
      </c>
      <c r="L720" s="2">
        <v>0.65416666666666667</v>
      </c>
      <c r="M720" t="s">
        <v>23</v>
      </c>
      <c r="N720">
        <v>372.33</v>
      </c>
      <c r="O720">
        <v>4.7619047620000003</v>
      </c>
      <c r="P720">
        <v>18.616499999999998</v>
      </c>
      <c r="Q720">
        <v>5</v>
      </c>
      <c r="R720" s="3">
        <f t="shared" si="34"/>
        <v>43479.654166666667</v>
      </c>
      <c r="S720">
        <f t="shared" si="33"/>
        <v>21.999999998370185</v>
      </c>
      <c r="T720">
        <f t="shared" si="35"/>
        <v>22</v>
      </c>
    </row>
    <row r="721" spans="1:20" hidden="1">
      <c r="A721" t="s">
        <v>874</v>
      </c>
      <c r="B721" t="s">
        <v>25</v>
      </c>
      <c r="C721" t="s">
        <v>26</v>
      </c>
      <c r="D721" t="s">
        <v>27</v>
      </c>
      <c r="E721" t="s">
        <v>177</v>
      </c>
      <c r="F721" t="s">
        <v>28</v>
      </c>
      <c r="G721">
        <v>55.87</v>
      </c>
      <c r="H721">
        <v>10</v>
      </c>
      <c r="I721">
        <v>27.934999999999999</v>
      </c>
      <c r="J721">
        <v>586.63499999999999</v>
      </c>
      <c r="K721" s="1">
        <v>43480</v>
      </c>
      <c r="L721" s="2">
        <v>0.62569444444444444</v>
      </c>
      <c r="M721" t="s">
        <v>29</v>
      </c>
      <c r="N721">
        <v>558.70000000000005</v>
      </c>
      <c r="O721">
        <v>4.7619047620000003</v>
      </c>
      <c r="P721">
        <v>27.934999999999999</v>
      </c>
      <c r="Q721">
        <v>5.8</v>
      </c>
      <c r="R721" s="3">
        <f t="shared" si="34"/>
        <v>43480.625694444447</v>
      </c>
      <c r="S721" t="str">
        <f t="shared" ref="S721:S784" si="36">IF(K721=K720, (R721-R720)*1440, "")</f>
        <v/>
      </c>
      <c r="T721" t="str">
        <f t="shared" si="35"/>
        <v/>
      </c>
    </row>
    <row r="722" spans="1:20">
      <c r="A722" t="s">
        <v>476</v>
      </c>
      <c r="B722" t="s">
        <v>25</v>
      </c>
      <c r="C722" t="s">
        <v>26</v>
      </c>
      <c r="D722" t="s">
        <v>20</v>
      </c>
      <c r="E722" t="s">
        <v>177</v>
      </c>
      <c r="F722" t="s">
        <v>43</v>
      </c>
      <c r="G722">
        <v>17.440000000000001</v>
      </c>
      <c r="H722">
        <v>5</v>
      </c>
      <c r="I722">
        <v>4.3600000000000003</v>
      </c>
      <c r="J722">
        <v>91.56</v>
      </c>
      <c r="K722" s="1">
        <v>43480</v>
      </c>
      <c r="L722" s="2">
        <v>0.80902777777777779</v>
      </c>
      <c r="M722" t="s">
        <v>29</v>
      </c>
      <c r="N722">
        <v>87.2</v>
      </c>
      <c r="O722">
        <v>4.7619047620000003</v>
      </c>
      <c r="P722">
        <v>4.3600000000000003</v>
      </c>
      <c r="Q722">
        <v>8.1</v>
      </c>
      <c r="R722" s="3">
        <f t="shared" si="34"/>
        <v>43480.809027777781</v>
      </c>
      <c r="S722">
        <f t="shared" si="36"/>
        <v>264.00000000139698</v>
      </c>
      <c r="T722">
        <f t="shared" si="35"/>
        <v>264</v>
      </c>
    </row>
    <row r="723" spans="1:20">
      <c r="A723" t="s">
        <v>785</v>
      </c>
      <c r="B723" t="s">
        <v>25</v>
      </c>
      <c r="C723" t="s">
        <v>26</v>
      </c>
      <c r="D723" t="s">
        <v>20</v>
      </c>
      <c r="E723" t="s">
        <v>177</v>
      </c>
      <c r="F723" t="s">
        <v>22</v>
      </c>
      <c r="G723">
        <v>81.23</v>
      </c>
      <c r="H723">
        <v>7</v>
      </c>
      <c r="I723">
        <v>28.430499999999999</v>
      </c>
      <c r="J723">
        <v>597.04049999999995</v>
      </c>
      <c r="K723" s="1">
        <v>43480</v>
      </c>
      <c r="L723" s="2">
        <v>0.86388888888888893</v>
      </c>
      <c r="M723" t="s">
        <v>29</v>
      </c>
      <c r="N723">
        <v>568.61</v>
      </c>
      <c r="O723">
        <v>4.7619047620000003</v>
      </c>
      <c r="P723">
        <v>28.430499999999999</v>
      </c>
      <c r="Q723">
        <v>9</v>
      </c>
      <c r="R723" s="3">
        <f t="shared" si="34"/>
        <v>43480.863888888889</v>
      </c>
      <c r="S723">
        <f t="shared" si="36"/>
        <v>78.999999995576218</v>
      </c>
      <c r="T723">
        <f t="shared" si="35"/>
        <v>79</v>
      </c>
    </row>
    <row r="724" spans="1:20" hidden="1">
      <c r="A724" t="s">
        <v>697</v>
      </c>
      <c r="B724" t="s">
        <v>25</v>
      </c>
      <c r="C724" t="s">
        <v>26</v>
      </c>
      <c r="D724" t="s">
        <v>20</v>
      </c>
      <c r="E724" t="s">
        <v>177</v>
      </c>
      <c r="F724" t="s">
        <v>35</v>
      </c>
      <c r="G724">
        <v>17.14</v>
      </c>
      <c r="H724">
        <v>7</v>
      </c>
      <c r="I724">
        <v>5.9989999999999997</v>
      </c>
      <c r="J724">
        <v>125.979</v>
      </c>
      <c r="K724" s="1">
        <v>43481</v>
      </c>
      <c r="L724" s="2">
        <v>0.50486111111111109</v>
      </c>
      <c r="M724" t="s">
        <v>32</v>
      </c>
      <c r="N724">
        <v>119.98</v>
      </c>
      <c r="O724">
        <v>4.7619047620000003</v>
      </c>
      <c r="P724">
        <v>5.9989999999999997</v>
      </c>
      <c r="Q724">
        <v>7.9</v>
      </c>
      <c r="R724" s="3">
        <f t="shared" si="34"/>
        <v>43481.504861111112</v>
      </c>
      <c r="S724" t="str">
        <f t="shared" si="36"/>
        <v/>
      </c>
      <c r="T724" t="str">
        <f t="shared" si="35"/>
        <v/>
      </c>
    </row>
    <row r="725" spans="1:20">
      <c r="A725" t="s">
        <v>202</v>
      </c>
      <c r="B725" t="s">
        <v>25</v>
      </c>
      <c r="C725" t="s">
        <v>26</v>
      </c>
      <c r="D725" t="s">
        <v>27</v>
      </c>
      <c r="E725" t="s">
        <v>177</v>
      </c>
      <c r="F725" t="s">
        <v>31</v>
      </c>
      <c r="G725">
        <v>95.58</v>
      </c>
      <c r="H725">
        <v>10</v>
      </c>
      <c r="I725">
        <v>47.79</v>
      </c>
      <c r="J725">
        <v>1003.59</v>
      </c>
      <c r="K725" s="1">
        <v>43481</v>
      </c>
      <c r="L725" s="2">
        <v>0.56388888888888888</v>
      </c>
      <c r="M725" t="s">
        <v>29</v>
      </c>
      <c r="N725">
        <v>955.8</v>
      </c>
      <c r="O725">
        <v>4.7619047620000003</v>
      </c>
      <c r="P725">
        <v>47.79</v>
      </c>
      <c r="Q725">
        <v>4.8</v>
      </c>
      <c r="R725" s="3">
        <f t="shared" si="34"/>
        <v>43481.563888888886</v>
      </c>
      <c r="S725">
        <f t="shared" si="36"/>
        <v>84.999999994179234</v>
      </c>
      <c r="T725">
        <f t="shared" si="35"/>
        <v>85</v>
      </c>
    </row>
    <row r="726" spans="1:20">
      <c r="A726" t="s">
        <v>730</v>
      </c>
      <c r="B726" t="s">
        <v>25</v>
      </c>
      <c r="C726" t="s">
        <v>26</v>
      </c>
      <c r="D726" t="s">
        <v>27</v>
      </c>
      <c r="E726" t="s">
        <v>21</v>
      </c>
      <c r="F726" t="s">
        <v>43</v>
      </c>
      <c r="G726">
        <v>52.6</v>
      </c>
      <c r="H726">
        <v>9</v>
      </c>
      <c r="I726">
        <v>23.67</v>
      </c>
      <c r="J726">
        <v>497.07</v>
      </c>
      <c r="K726" s="1">
        <v>43481</v>
      </c>
      <c r="L726" s="2">
        <v>0.61250000000000004</v>
      </c>
      <c r="M726" t="s">
        <v>29</v>
      </c>
      <c r="N726">
        <v>473.4</v>
      </c>
      <c r="O726">
        <v>4.7619047620000003</v>
      </c>
      <c r="P726">
        <v>23.67</v>
      </c>
      <c r="Q726">
        <v>7.6</v>
      </c>
      <c r="R726" s="3">
        <f t="shared" si="34"/>
        <v>43481.612500000003</v>
      </c>
      <c r="S726">
        <f t="shared" si="36"/>
        <v>70.000000008149073</v>
      </c>
      <c r="T726">
        <f t="shared" si="35"/>
        <v>70</v>
      </c>
    </row>
    <row r="727" spans="1:20">
      <c r="A727" t="s">
        <v>684</v>
      </c>
      <c r="B727" t="s">
        <v>25</v>
      </c>
      <c r="C727" t="s">
        <v>26</v>
      </c>
      <c r="D727" t="s">
        <v>20</v>
      </c>
      <c r="E727" t="s">
        <v>21</v>
      </c>
      <c r="F727" t="s">
        <v>35</v>
      </c>
      <c r="G727">
        <v>15.49</v>
      </c>
      <c r="H727">
        <v>2</v>
      </c>
      <c r="I727">
        <v>1.5489999999999999</v>
      </c>
      <c r="J727">
        <v>32.529000000000003</v>
      </c>
      <c r="K727" s="1">
        <v>43481</v>
      </c>
      <c r="L727" s="2">
        <v>0.63194444444444442</v>
      </c>
      <c r="M727" t="s">
        <v>29</v>
      </c>
      <c r="N727">
        <v>30.98</v>
      </c>
      <c r="O727">
        <v>4.7619047620000003</v>
      </c>
      <c r="P727">
        <v>1.5489999999999999</v>
      </c>
      <c r="Q727">
        <v>6.3</v>
      </c>
      <c r="R727" s="3">
        <f t="shared" si="34"/>
        <v>43481.631944444445</v>
      </c>
      <c r="S727">
        <f t="shared" si="36"/>
        <v>27.999999996973202</v>
      </c>
      <c r="T727">
        <f t="shared" si="35"/>
        <v>28</v>
      </c>
    </row>
    <row r="728" spans="1:20">
      <c r="A728" t="s">
        <v>247</v>
      </c>
      <c r="B728" t="s">
        <v>25</v>
      </c>
      <c r="C728" t="s">
        <v>26</v>
      </c>
      <c r="D728" t="s">
        <v>27</v>
      </c>
      <c r="E728" t="s">
        <v>21</v>
      </c>
      <c r="F728" t="s">
        <v>43</v>
      </c>
      <c r="G728">
        <v>93.26</v>
      </c>
      <c r="H728">
        <v>9</v>
      </c>
      <c r="I728">
        <v>41.966999999999999</v>
      </c>
      <c r="J728">
        <v>881.30700000000002</v>
      </c>
      <c r="K728" s="1">
        <v>43481</v>
      </c>
      <c r="L728" s="2">
        <v>0.75555555555555554</v>
      </c>
      <c r="M728" t="s">
        <v>29</v>
      </c>
      <c r="N728">
        <v>839.34</v>
      </c>
      <c r="O728">
        <v>4.7619047620000003</v>
      </c>
      <c r="P728">
        <v>41.966999999999999</v>
      </c>
      <c r="Q728">
        <v>8.8000000000000007</v>
      </c>
      <c r="R728" s="3">
        <f t="shared" si="34"/>
        <v>43481.755555555559</v>
      </c>
      <c r="S728">
        <f t="shared" si="36"/>
        <v>178.00000000395812</v>
      </c>
      <c r="T728">
        <f t="shared" si="35"/>
        <v>178</v>
      </c>
    </row>
    <row r="729" spans="1:20" hidden="1">
      <c r="A729" t="s">
        <v>903</v>
      </c>
      <c r="B729" t="s">
        <v>25</v>
      </c>
      <c r="C729" t="s">
        <v>26</v>
      </c>
      <c r="D729" t="s">
        <v>20</v>
      </c>
      <c r="E729" t="s">
        <v>21</v>
      </c>
      <c r="F729" t="s">
        <v>22</v>
      </c>
      <c r="G729">
        <v>62.82</v>
      </c>
      <c r="H729">
        <v>2</v>
      </c>
      <c r="I729">
        <v>6.282</v>
      </c>
      <c r="J729">
        <v>131.922</v>
      </c>
      <c r="K729" s="1">
        <v>43482</v>
      </c>
      <c r="L729" s="2">
        <v>0.52500000000000002</v>
      </c>
      <c r="M729" t="s">
        <v>23</v>
      </c>
      <c r="N729">
        <v>125.64</v>
      </c>
      <c r="O729">
        <v>4.7619047620000003</v>
      </c>
      <c r="P729">
        <v>6.282</v>
      </c>
      <c r="Q729">
        <v>4.9000000000000004</v>
      </c>
      <c r="R729" s="3">
        <f t="shared" si="34"/>
        <v>43482.525000000001</v>
      </c>
      <c r="S729" t="str">
        <f t="shared" si="36"/>
        <v/>
      </c>
      <c r="T729" t="str">
        <f t="shared" si="35"/>
        <v/>
      </c>
    </row>
    <row r="730" spans="1:20">
      <c r="A730" t="s">
        <v>555</v>
      </c>
      <c r="B730" t="s">
        <v>25</v>
      </c>
      <c r="C730" t="s">
        <v>26</v>
      </c>
      <c r="D730" t="s">
        <v>20</v>
      </c>
      <c r="E730" t="s">
        <v>177</v>
      </c>
      <c r="F730" t="s">
        <v>35</v>
      </c>
      <c r="G730">
        <v>71.92</v>
      </c>
      <c r="H730">
        <v>5</v>
      </c>
      <c r="I730">
        <v>17.98</v>
      </c>
      <c r="J730">
        <v>377.58</v>
      </c>
      <c r="K730" s="1">
        <v>43482</v>
      </c>
      <c r="L730" s="2">
        <v>0.62847222222222221</v>
      </c>
      <c r="M730" t="s">
        <v>32</v>
      </c>
      <c r="N730">
        <v>359.6</v>
      </c>
      <c r="O730">
        <v>4.7619047620000003</v>
      </c>
      <c r="P730">
        <v>17.98</v>
      </c>
      <c r="Q730">
        <v>4.3</v>
      </c>
      <c r="R730" s="3">
        <f t="shared" si="34"/>
        <v>43482.628472222219</v>
      </c>
      <c r="S730">
        <f t="shared" si="36"/>
        <v>148.99999999324791</v>
      </c>
      <c r="T730">
        <f t="shared" si="35"/>
        <v>149</v>
      </c>
    </row>
    <row r="731" spans="1:20">
      <c r="A731" t="s">
        <v>810</v>
      </c>
      <c r="B731" t="s">
        <v>25</v>
      </c>
      <c r="C731" t="s">
        <v>26</v>
      </c>
      <c r="D731" t="s">
        <v>20</v>
      </c>
      <c r="E731" t="s">
        <v>177</v>
      </c>
      <c r="F731" t="s">
        <v>43</v>
      </c>
      <c r="G731">
        <v>65.650000000000006</v>
      </c>
      <c r="H731">
        <v>2</v>
      </c>
      <c r="I731">
        <v>6.5650000000000004</v>
      </c>
      <c r="J731">
        <v>137.86500000000001</v>
      </c>
      <c r="K731" s="1">
        <v>43482</v>
      </c>
      <c r="L731" s="2">
        <v>0.69861111111111107</v>
      </c>
      <c r="M731" t="s">
        <v>29</v>
      </c>
      <c r="N731">
        <v>131.30000000000001</v>
      </c>
      <c r="O731">
        <v>4.7619047620000003</v>
      </c>
      <c r="P731">
        <v>6.5650000000000004</v>
      </c>
      <c r="Q731">
        <v>6</v>
      </c>
      <c r="R731" s="3">
        <f t="shared" si="34"/>
        <v>43482.698611111111</v>
      </c>
      <c r="S731">
        <f t="shared" si="36"/>
        <v>101.00000000442378</v>
      </c>
      <c r="T731">
        <f t="shared" si="35"/>
        <v>101</v>
      </c>
    </row>
    <row r="732" spans="1:20" hidden="1">
      <c r="A732" t="s">
        <v>357</v>
      </c>
      <c r="B732" t="s">
        <v>25</v>
      </c>
      <c r="C732" t="s">
        <v>26</v>
      </c>
      <c r="D732" t="s">
        <v>27</v>
      </c>
      <c r="E732" t="s">
        <v>21</v>
      </c>
      <c r="F732" t="s">
        <v>22</v>
      </c>
      <c r="G732">
        <v>39.42</v>
      </c>
      <c r="H732">
        <v>1</v>
      </c>
      <c r="I732">
        <v>1.9710000000000001</v>
      </c>
      <c r="J732">
        <v>41.390999999999998</v>
      </c>
      <c r="K732" s="1">
        <v>43483</v>
      </c>
      <c r="L732" s="2">
        <v>0.63055555555555554</v>
      </c>
      <c r="M732" t="s">
        <v>29</v>
      </c>
      <c r="N732">
        <v>39.42</v>
      </c>
      <c r="O732">
        <v>4.7619047620000003</v>
      </c>
      <c r="P732">
        <v>1.9710000000000001</v>
      </c>
      <c r="Q732">
        <v>8.4</v>
      </c>
      <c r="R732" s="3">
        <f t="shared" si="34"/>
        <v>43483.630555555559</v>
      </c>
      <c r="S732" t="str">
        <f t="shared" si="36"/>
        <v/>
      </c>
      <c r="T732" t="str">
        <f t="shared" si="35"/>
        <v/>
      </c>
    </row>
    <row r="733" spans="1:20">
      <c r="A733" t="s">
        <v>757</v>
      </c>
      <c r="B733" t="s">
        <v>25</v>
      </c>
      <c r="C733" t="s">
        <v>26</v>
      </c>
      <c r="D733" t="s">
        <v>20</v>
      </c>
      <c r="E733" t="s">
        <v>21</v>
      </c>
      <c r="F733" t="s">
        <v>35</v>
      </c>
      <c r="G733">
        <v>90.63</v>
      </c>
      <c r="H733">
        <v>9</v>
      </c>
      <c r="I733">
        <v>40.783499999999997</v>
      </c>
      <c r="J733">
        <v>856.45349999999996</v>
      </c>
      <c r="K733" s="1">
        <v>43483</v>
      </c>
      <c r="L733" s="2">
        <v>0.64444444444444449</v>
      </c>
      <c r="M733" t="s">
        <v>29</v>
      </c>
      <c r="N733">
        <v>815.67</v>
      </c>
      <c r="O733">
        <v>4.7619047620000003</v>
      </c>
      <c r="P733">
        <v>40.783499999999997</v>
      </c>
      <c r="Q733">
        <v>5.0999999999999996</v>
      </c>
      <c r="R733" s="3">
        <f t="shared" si="34"/>
        <v>43483.644444444442</v>
      </c>
      <c r="S733">
        <f t="shared" si="36"/>
        <v>19.999999991850927</v>
      </c>
      <c r="T733">
        <f t="shared" si="35"/>
        <v>20</v>
      </c>
    </row>
    <row r="734" spans="1:20">
      <c r="A734" t="s">
        <v>932</v>
      </c>
      <c r="B734" t="s">
        <v>25</v>
      </c>
      <c r="C734" t="s">
        <v>26</v>
      </c>
      <c r="D734" t="s">
        <v>27</v>
      </c>
      <c r="E734" t="s">
        <v>177</v>
      </c>
      <c r="F734" t="s">
        <v>45</v>
      </c>
      <c r="G734">
        <v>60.74</v>
      </c>
      <c r="H734">
        <v>7</v>
      </c>
      <c r="I734">
        <v>21.259</v>
      </c>
      <c r="J734">
        <v>446.43900000000002</v>
      </c>
      <c r="K734" s="1">
        <v>43483</v>
      </c>
      <c r="L734" s="2">
        <v>0.68263888888888891</v>
      </c>
      <c r="M734" t="s">
        <v>23</v>
      </c>
      <c r="N734">
        <v>425.18</v>
      </c>
      <c r="O734">
        <v>4.7619047620000003</v>
      </c>
      <c r="P734">
        <v>21.259</v>
      </c>
      <c r="Q734">
        <v>5</v>
      </c>
      <c r="R734" s="3">
        <f t="shared" si="34"/>
        <v>43483.682638888888</v>
      </c>
      <c r="S734">
        <f t="shared" si="36"/>
        <v>55.000000001164153</v>
      </c>
      <c r="T734">
        <f t="shared" si="35"/>
        <v>55</v>
      </c>
    </row>
    <row r="735" spans="1:20" hidden="1">
      <c r="A735" t="s">
        <v>335</v>
      </c>
      <c r="B735" t="s">
        <v>25</v>
      </c>
      <c r="C735" t="s">
        <v>26</v>
      </c>
      <c r="D735" t="s">
        <v>20</v>
      </c>
      <c r="E735" t="s">
        <v>21</v>
      </c>
      <c r="F735" t="s">
        <v>31</v>
      </c>
      <c r="G735">
        <v>88.61</v>
      </c>
      <c r="H735">
        <v>1</v>
      </c>
      <c r="I735">
        <v>4.4305000000000003</v>
      </c>
      <c r="J735">
        <v>93.040499999999994</v>
      </c>
      <c r="K735" s="1">
        <v>43484</v>
      </c>
      <c r="L735" s="2">
        <v>0.43125000000000002</v>
      </c>
      <c r="M735" t="s">
        <v>29</v>
      </c>
      <c r="N735">
        <v>88.61</v>
      </c>
      <c r="O735">
        <v>4.7619047620000003</v>
      </c>
      <c r="P735">
        <v>4.4305000000000003</v>
      </c>
      <c r="Q735">
        <v>7.7</v>
      </c>
      <c r="R735" s="3">
        <f t="shared" si="34"/>
        <v>43484.431250000001</v>
      </c>
      <c r="S735" t="str">
        <f t="shared" si="36"/>
        <v/>
      </c>
      <c r="T735" t="str">
        <f t="shared" si="35"/>
        <v/>
      </c>
    </row>
    <row r="736" spans="1:20">
      <c r="A736" t="s">
        <v>947</v>
      </c>
      <c r="B736" t="s">
        <v>25</v>
      </c>
      <c r="C736" t="s">
        <v>26</v>
      </c>
      <c r="D736" t="s">
        <v>27</v>
      </c>
      <c r="E736" t="s">
        <v>21</v>
      </c>
      <c r="F736" t="s">
        <v>28</v>
      </c>
      <c r="G736">
        <v>56.13</v>
      </c>
      <c r="H736">
        <v>4</v>
      </c>
      <c r="I736">
        <v>11.226000000000001</v>
      </c>
      <c r="J736">
        <v>235.74600000000001</v>
      </c>
      <c r="K736" s="1">
        <v>43484</v>
      </c>
      <c r="L736" s="2">
        <v>0.48819444444444443</v>
      </c>
      <c r="M736" t="s">
        <v>23</v>
      </c>
      <c r="N736">
        <v>224.52</v>
      </c>
      <c r="O736">
        <v>4.7619047620000003</v>
      </c>
      <c r="P736">
        <v>11.226000000000001</v>
      </c>
      <c r="Q736">
        <v>8.6</v>
      </c>
      <c r="R736" s="3">
        <f t="shared" si="34"/>
        <v>43484.488194444442</v>
      </c>
      <c r="S736">
        <f t="shared" si="36"/>
        <v>81.999999994877726</v>
      </c>
      <c r="T736">
        <f t="shared" si="35"/>
        <v>82</v>
      </c>
    </row>
    <row r="737" spans="1:20">
      <c r="A737" t="s">
        <v>1016</v>
      </c>
      <c r="B737" t="s">
        <v>25</v>
      </c>
      <c r="C737" t="s">
        <v>26</v>
      </c>
      <c r="D737" t="s">
        <v>20</v>
      </c>
      <c r="E737" t="s">
        <v>177</v>
      </c>
      <c r="F737" t="s">
        <v>43</v>
      </c>
      <c r="G737">
        <v>59.59</v>
      </c>
      <c r="H737">
        <v>4</v>
      </c>
      <c r="I737">
        <v>11.917999999999999</v>
      </c>
      <c r="J737">
        <v>250.27799999999999</v>
      </c>
      <c r="K737" s="1">
        <v>43484</v>
      </c>
      <c r="L737" s="2">
        <v>0.53194444444444444</v>
      </c>
      <c r="M737" t="s">
        <v>29</v>
      </c>
      <c r="N737">
        <v>238.36</v>
      </c>
      <c r="O737">
        <v>4.7619047620000003</v>
      </c>
      <c r="P737">
        <v>11.917999999999999</v>
      </c>
      <c r="Q737">
        <v>9.8000000000000007</v>
      </c>
      <c r="R737" s="3">
        <f t="shared" si="34"/>
        <v>43484.531944444447</v>
      </c>
      <c r="S737">
        <f t="shared" si="36"/>
        <v>63.000000006286427</v>
      </c>
      <c r="T737">
        <f t="shared" si="35"/>
        <v>63</v>
      </c>
    </row>
    <row r="738" spans="1:20">
      <c r="A738" t="s">
        <v>649</v>
      </c>
      <c r="B738" t="s">
        <v>25</v>
      </c>
      <c r="C738" t="s">
        <v>26</v>
      </c>
      <c r="D738" t="s">
        <v>20</v>
      </c>
      <c r="E738" t="s">
        <v>177</v>
      </c>
      <c r="F738" t="s">
        <v>35</v>
      </c>
      <c r="G738">
        <v>80.930000000000007</v>
      </c>
      <c r="H738">
        <v>1</v>
      </c>
      <c r="I738">
        <v>4.0465</v>
      </c>
      <c r="J738">
        <v>84.976500000000001</v>
      </c>
      <c r="K738" s="1">
        <v>43484</v>
      </c>
      <c r="L738" s="2">
        <v>0.67222222222222228</v>
      </c>
      <c r="M738" t="s">
        <v>32</v>
      </c>
      <c r="N738">
        <v>80.930000000000007</v>
      </c>
      <c r="O738">
        <v>4.7619047620000003</v>
      </c>
      <c r="P738">
        <v>4.0465</v>
      </c>
      <c r="Q738">
        <v>9</v>
      </c>
      <c r="R738" s="3">
        <f t="shared" si="34"/>
        <v>43484.672222222223</v>
      </c>
      <c r="S738">
        <f t="shared" si="36"/>
        <v>201.99999999837019</v>
      </c>
      <c r="T738">
        <f t="shared" si="35"/>
        <v>202</v>
      </c>
    </row>
    <row r="739" spans="1:20">
      <c r="A739" t="s">
        <v>196</v>
      </c>
      <c r="B739" t="s">
        <v>25</v>
      </c>
      <c r="C739" t="s">
        <v>26</v>
      </c>
      <c r="D739" t="s">
        <v>27</v>
      </c>
      <c r="E739" t="s">
        <v>21</v>
      </c>
      <c r="F739" t="s">
        <v>43</v>
      </c>
      <c r="G739">
        <v>43.18</v>
      </c>
      <c r="H739">
        <v>8</v>
      </c>
      <c r="I739">
        <v>17.271999999999998</v>
      </c>
      <c r="J739">
        <v>362.71199999999999</v>
      </c>
      <c r="K739" s="1">
        <v>43484</v>
      </c>
      <c r="L739" s="2">
        <v>0.81874999999999998</v>
      </c>
      <c r="M739" t="s">
        <v>32</v>
      </c>
      <c r="N739">
        <v>345.44</v>
      </c>
      <c r="O739">
        <v>4.7619047620000003</v>
      </c>
      <c r="P739">
        <v>17.271999999999998</v>
      </c>
      <c r="Q739">
        <v>8.3000000000000007</v>
      </c>
      <c r="R739" s="3">
        <f t="shared" si="34"/>
        <v>43484.818749999999</v>
      </c>
      <c r="S739">
        <f t="shared" si="36"/>
        <v>210.99999999627471</v>
      </c>
      <c r="T739">
        <f t="shared" si="35"/>
        <v>211</v>
      </c>
    </row>
    <row r="740" spans="1:20" hidden="1">
      <c r="A740" t="s">
        <v>383</v>
      </c>
      <c r="B740" t="s">
        <v>25</v>
      </c>
      <c r="C740" t="s">
        <v>26</v>
      </c>
      <c r="D740" t="s">
        <v>20</v>
      </c>
      <c r="E740" t="s">
        <v>21</v>
      </c>
      <c r="F740" t="s">
        <v>31</v>
      </c>
      <c r="G740">
        <v>89.25</v>
      </c>
      <c r="H740">
        <v>8</v>
      </c>
      <c r="I740">
        <v>35.700000000000003</v>
      </c>
      <c r="J740">
        <v>749.7</v>
      </c>
      <c r="K740" s="1">
        <v>43485</v>
      </c>
      <c r="L740" s="2">
        <v>0.42569444444444443</v>
      </c>
      <c r="M740" t="s">
        <v>29</v>
      </c>
      <c r="N740">
        <v>714</v>
      </c>
      <c r="O740">
        <v>4.7619047620000003</v>
      </c>
      <c r="P740">
        <v>35.700000000000003</v>
      </c>
      <c r="Q740">
        <v>4.7</v>
      </c>
      <c r="R740" s="3">
        <f t="shared" si="34"/>
        <v>43485.425694444442</v>
      </c>
      <c r="S740" t="str">
        <f t="shared" si="36"/>
        <v/>
      </c>
      <c r="T740" t="str">
        <f t="shared" si="35"/>
        <v/>
      </c>
    </row>
    <row r="741" spans="1:20">
      <c r="A741" t="s">
        <v>969</v>
      </c>
      <c r="B741" t="s">
        <v>25</v>
      </c>
      <c r="C741" t="s">
        <v>26</v>
      </c>
      <c r="D741" t="s">
        <v>27</v>
      </c>
      <c r="E741" t="s">
        <v>177</v>
      </c>
      <c r="F741" t="s">
        <v>22</v>
      </c>
      <c r="G741">
        <v>64.08</v>
      </c>
      <c r="H741">
        <v>7</v>
      </c>
      <c r="I741">
        <v>22.428000000000001</v>
      </c>
      <c r="J741">
        <v>470.988</v>
      </c>
      <c r="K741" s="1">
        <v>43485</v>
      </c>
      <c r="L741" s="2">
        <v>0.51875000000000004</v>
      </c>
      <c r="M741" t="s">
        <v>23</v>
      </c>
      <c r="N741">
        <v>448.56</v>
      </c>
      <c r="O741">
        <v>4.7619047620000003</v>
      </c>
      <c r="P741">
        <v>22.428000000000001</v>
      </c>
      <c r="Q741">
        <v>7.6</v>
      </c>
      <c r="R741" s="3">
        <f t="shared" si="34"/>
        <v>43485.518750000003</v>
      </c>
      <c r="S741">
        <f t="shared" si="36"/>
        <v>134.00000000721775</v>
      </c>
      <c r="T741">
        <f t="shared" si="35"/>
        <v>134</v>
      </c>
    </row>
    <row r="742" spans="1:20">
      <c r="A742" t="s">
        <v>472</v>
      </c>
      <c r="B742" t="s">
        <v>25</v>
      </c>
      <c r="C742" t="s">
        <v>26</v>
      </c>
      <c r="D742" t="s">
        <v>20</v>
      </c>
      <c r="E742" t="s">
        <v>177</v>
      </c>
      <c r="F742" t="s">
        <v>35</v>
      </c>
      <c r="G742">
        <v>82.93</v>
      </c>
      <c r="H742">
        <v>4</v>
      </c>
      <c r="I742">
        <v>16.585999999999999</v>
      </c>
      <c r="J742">
        <v>348.30599999999998</v>
      </c>
      <c r="K742" s="1">
        <v>43485</v>
      </c>
      <c r="L742" s="2">
        <v>0.70208333333333328</v>
      </c>
      <c r="M742" t="s">
        <v>23</v>
      </c>
      <c r="N742">
        <v>331.72</v>
      </c>
      <c r="O742">
        <v>4.7619047620000003</v>
      </c>
      <c r="P742">
        <v>16.585999999999999</v>
      </c>
      <c r="Q742">
        <v>9.6</v>
      </c>
      <c r="R742" s="3">
        <f t="shared" si="34"/>
        <v>43485.70208333333</v>
      </c>
      <c r="S742">
        <f t="shared" si="36"/>
        <v>263.9999999909196</v>
      </c>
      <c r="T742">
        <f t="shared" si="35"/>
        <v>264</v>
      </c>
    </row>
    <row r="743" spans="1:20">
      <c r="A743" t="s">
        <v>744</v>
      </c>
      <c r="B743" t="s">
        <v>25</v>
      </c>
      <c r="C743" t="s">
        <v>26</v>
      </c>
      <c r="D743" t="s">
        <v>27</v>
      </c>
      <c r="E743" t="s">
        <v>177</v>
      </c>
      <c r="F743" t="s">
        <v>45</v>
      </c>
      <c r="G743">
        <v>15.62</v>
      </c>
      <c r="H743">
        <v>8</v>
      </c>
      <c r="I743">
        <v>6.2480000000000002</v>
      </c>
      <c r="J743">
        <v>131.208</v>
      </c>
      <c r="K743" s="1">
        <v>43485</v>
      </c>
      <c r="L743" s="2">
        <v>0.85902777777777772</v>
      </c>
      <c r="M743" t="s">
        <v>23</v>
      </c>
      <c r="N743">
        <v>124.96</v>
      </c>
      <c r="O743">
        <v>4.7619047620000003</v>
      </c>
      <c r="P743">
        <v>6.2480000000000002</v>
      </c>
      <c r="Q743">
        <v>9.1</v>
      </c>
      <c r="R743" s="3">
        <f t="shared" si="34"/>
        <v>43485.859027777777</v>
      </c>
      <c r="S743">
        <f t="shared" si="36"/>
        <v>226.00000000325963</v>
      </c>
      <c r="T743">
        <f t="shared" si="35"/>
        <v>226</v>
      </c>
    </row>
    <row r="744" spans="1:20" hidden="1">
      <c r="A744" t="s">
        <v>115</v>
      </c>
      <c r="B744" t="s">
        <v>25</v>
      </c>
      <c r="C744" t="s">
        <v>26</v>
      </c>
      <c r="D744" t="s">
        <v>20</v>
      </c>
      <c r="E744" t="s">
        <v>21</v>
      </c>
      <c r="F744" t="s">
        <v>22</v>
      </c>
      <c r="G744">
        <v>99.19</v>
      </c>
      <c r="H744">
        <v>6</v>
      </c>
      <c r="I744">
        <v>29.757000000000001</v>
      </c>
      <c r="J744">
        <v>624.89700000000005</v>
      </c>
      <c r="K744" s="1">
        <v>43486</v>
      </c>
      <c r="L744" s="2">
        <v>0.61250000000000004</v>
      </c>
      <c r="M744" t="s">
        <v>32</v>
      </c>
      <c r="N744">
        <v>595.14</v>
      </c>
      <c r="O744">
        <v>4.7619047620000003</v>
      </c>
      <c r="P744">
        <v>29.757000000000001</v>
      </c>
      <c r="Q744">
        <v>5.5</v>
      </c>
      <c r="R744" s="3">
        <f t="shared" si="34"/>
        <v>43486.612500000003</v>
      </c>
      <c r="S744" t="str">
        <f t="shared" si="36"/>
        <v/>
      </c>
      <c r="T744" t="str">
        <f t="shared" si="35"/>
        <v/>
      </c>
    </row>
    <row r="745" spans="1:20">
      <c r="A745" t="s">
        <v>743</v>
      </c>
      <c r="B745" t="s">
        <v>25</v>
      </c>
      <c r="C745" t="s">
        <v>26</v>
      </c>
      <c r="D745" t="s">
        <v>20</v>
      </c>
      <c r="E745" t="s">
        <v>177</v>
      </c>
      <c r="F745" t="s">
        <v>43</v>
      </c>
      <c r="G745">
        <v>68.98</v>
      </c>
      <c r="H745">
        <v>1</v>
      </c>
      <c r="I745">
        <v>3.4489999999999998</v>
      </c>
      <c r="J745">
        <v>72.429000000000002</v>
      </c>
      <c r="K745" s="1">
        <v>43486</v>
      </c>
      <c r="L745" s="2">
        <v>0.84236111111111112</v>
      </c>
      <c r="M745" t="s">
        <v>29</v>
      </c>
      <c r="N745">
        <v>68.98</v>
      </c>
      <c r="O745">
        <v>4.7619047620000003</v>
      </c>
      <c r="P745">
        <v>3.4489999999999998</v>
      </c>
      <c r="Q745">
        <v>4.8</v>
      </c>
      <c r="R745" s="3">
        <f t="shared" si="34"/>
        <v>43486.842361111114</v>
      </c>
      <c r="S745">
        <f t="shared" si="36"/>
        <v>330.99999999976717</v>
      </c>
      <c r="T745">
        <f t="shared" si="35"/>
        <v>331</v>
      </c>
    </row>
    <row r="746" spans="1:20" hidden="1">
      <c r="A746" t="s">
        <v>453</v>
      </c>
      <c r="B746" t="s">
        <v>25</v>
      </c>
      <c r="C746" t="s">
        <v>26</v>
      </c>
      <c r="D746" t="s">
        <v>20</v>
      </c>
      <c r="E746" t="s">
        <v>21</v>
      </c>
      <c r="F746" t="s">
        <v>22</v>
      </c>
      <c r="G746">
        <v>81.510000000000005</v>
      </c>
      <c r="H746">
        <v>1</v>
      </c>
      <c r="I746">
        <v>4.0754999999999999</v>
      </c>
      <c r="J746">
        <v>85.585499999999996</v>
      </c>
      <c r="K746" s="1">
        <v>43487</v>
      </c>
      <c r="L746" s="2">
        <v>0.45624999999999999</v>
      </c>
      <c r="M746" t="s">
        <v>23</v>
      </c>
      <c r="N746">
        <v>81.510000000000005</v>
      </c>
      <c r="O746">
        <v>4.7619047620000003</v>
      </c>
      <c r="P746">
        <v>4.0754999999999999</v>
      </c>
      <c r="Q746">
        <v>9.1999999999999993</v>
      </c>
      <c r="R746" s="3">
        <f t="shared" si="34"/>
        <v>43487.456250000003</v>
      </c>
      <c r="S746" t="str">
        <f t="shared" si="36"/>
        <v/>
      </c>
      <c r="T746" t="str">
        <f t="shared" si="35"/>
        <v/>
      </c>
    </row>
    <row r="747" spans="1:20">
      <c r="A747" t="s">
        <v>114</v>
      </c>
      <c r="B747" t="s">
        <v>25</v>
      </c>
      <c r="C747" t="s">
        <v>26</v>
      </c>
      <c r="D747" t="s">
        <v>20</v>
      </c>
      <c r="E747" t="s">
        <v>21</v>
      </c>
      <c r="F747" t="s">
        <v>22</v>
      </c>
      <c r="G747">
        <v>20.38</v>
      </c>
      <c r="H747">
        <v>5</v>
      </c>
      <c r="I747">
        <v>5.0949999999999998</v>
      </c>
      <c r="J747">
        <v>106.995</v>
      </c>
      <c r="K747" s="1">
        <v>43487</v>
      </c>
      <c r="L747" s="2">
        <v>0.78888888888888886</v>
      </c>
      <c r="M747" t="s">
        <v>29</v>
      </c>
      <c r="N747">
        <v>101.9</v>
      </c>
      <c r="O747">
        <v>4.7619047620000003</v>
      </c>
      <c r="P747">
        <v>5.0949999999999998</v>
      </c>
      <c r="Q747">
        <v>6</v>
      </c>
      <c r="R747" s="3">
        <f t="shared" si="34"/>
        <v>43487.788888888892</v>
      </c>
      <c r="S747">
        <f t="shared" si="36"/>
        <v>479.00000000023283</v>
      </c>
      <c r="T747">
        <f t="shared" si="35"/>
        <v>479</v>
      </c>
    </row>
    <row r="748" spans="1:20">
      <c r="A748" t="s">
        <v>553</v>
      </c>
      <c r="B748" t="s">
        <v>25</v>
      </c>
      <c r="C748" t="s">
        <v>26</v>
      </c>
      <c r="D748" t="s">
        <v>20</v>
      </c>
      <c r="E748" t="s">
        <v>177</v>
      </c>
      <c r="F748" t="s">
        <v>31</v>
      </c>
      <c r="G748">
        <v>39.39</v>
      </c>
      <c r="H748">
        <v>5</v>
      </c>
      <c r="I748">
        <v>9.8475000000000001</v>
      </c>
      <c r="J748">
        <v>206.79750000000001</v>
      </c>
      <c r="K748" s="1">
        <v>43487</v>
      </c>
      <c r="L748" s="2">
        <v>0.86527777777777781</v>
      </c>
      <c r="M748" t="s">
        <v>32</v>
      </c>
      <c r="N748">
        <v>196.95</v>
      </c>
      <c r="O748">
        <v>4.7619047620000003</v>
      </c>
      <c r="P748">
        <v>9.8475000000000001</v>
      </c>
      <c r="Q748">
        <v>8.6999999999999993</v>
      </c>
      <c r="R748" s="3">
        <f t="shared" si="34"/>
        <v>43487.865277777775</v>
      </c>
      <c r="S748">
        <f t="shared" si="36"/>
        <v>109.99999999185093</v>
      </c>
      <c r="T748">
        <f t="shared" si="35"/>
        <v>110</v>
      </c>
    </row>
    <row r="749" spans="1:20" hidden="1">
      <c r="A749" t="s">
        <v>823</v>
      </c>
      <c r="B749" t="s">
        <v>25</v>
      </c>
      <c r="C749" t="s">
        <v>26</v>
      </c>
      <c r="D749" t="s">
        <v>27</v>
      </c>
      <c r="E749" t="s">
        <v>21</v>
      </c>
      <c r="F749" t="s">
        <v>22</v>
      </c>
      <c r="G749">
        <v>10.99</v>
      </c>
      <c r="H749">
        <v>5</v>
      </c>
      <c r="I749">
        <v>2.7475000000000001</v>
      </c>
      <c r="J749">
        <v>57.697499999999998</v>
      </c>
      <c r="K749" s="1">
        <v>43488</v>
      </c>
      <c r="L749" s="2">
        <v>0.42916666666666664</v>
      </c>
      <c r="M749" t="s">
        <v>32</v>
      </c>
      <c r="N749">
        <v>54.95</v>
      </c>
      <c r="O749">
        <v>4.7619047620000003</v>
      </c>
      <c r="P749">
        <v>2.7475000000000001</v>
      </c>
      <c r="Q749">
        <v>9.3000000000000007</v>
      </c>
      <c r="R749" s="3">
        <f t="shared" si="34"/>
        <v>43488.429166666669</v>
      </c>
      <c r="S749" t="str">
        <f t="shared" si="36"/>
        <v/>
      </c>
      <c r="T749" t="str">
        <f t="shared" si="35"/>
        <v/>
      </c>
    </row>
    <row r="750" spans="1:20">
      <c r="A750" t="s">
        <v>125</v>
      </c>
      <c r="B750" t="s">
        <v>25</v>
      </c>
      <c r="C750" t="s">
        <v>26</v>
      </c>
      <c r="D750" t="s">
        <v>20</v>
      </c>
      <c r="E750" t="s">
        <v>21</v>
      </c>
      <c r="F750" t="s">
        <v>31</v>
      </c>
      <c r="G750">
        <v>47.38</v>
      </c>
      <c r="H750">
        <v>4</v>
      </c>
      <c r="I750">
        <v>9.4760000000000009</v>
      </c>
      <c r="J750">
        <v>198.99600000000001</v>
      </c>
      <c r="K750" s="1">
        <v>43488</v>
      </c>
      <c r="L750" s="2">
        <v>0.43402777777777779</v>
      </c>
      <c r="M750" t="s">
        <v>29</v>
      </c>
      <c r="N750">
        <v>189.52</v>
      </c>
      <c r="O750">
        <v>4.7619047620000003</v>
      </c>
      <c r="P750">
        <v>9.4760000000000009</v>
      </c>
      <c r="Q750">
        <v>7.1</v>
      </c>
      <c r="R750" s="3">
        <f t="shared" si="34"/>
        <v>43488.434027777781</v>
      </c>
      <c r="S750">
        <f t="shared" si="36"/>
        <v>7.0000000018626451</v>
      </c>
      <c r="T750">
        <f t="shared" si="35"/>
        <v>7</v>
      </c>
    </row>
    <row r="751" spans="1:20">
      <c r="A751" t="s">
        <v>1019</v>
      </c>
      <c r="B751" t="s">
        <v>25</v>
      </c>
      <c r="C751" t="s">
        <v>26</v>
      </c>
      <c r="D751" t="s">
        <v>27</v>
      </c>
      <c r="E751" t="s">
        <v>177</v>
      </c>
      <c r="F751" t="s">
        <v>22</v>
      </c>
      <c r="G751">
        <v>99.96</v>
      </c>
      <c r="H751">
        <v>7</v>
      </c>
      <c r="I751">
        <v>34.985999999999997</v>
      </c>
      <c r="J751">
        <v>734.70600000000002</v>
      </c>
      <c r="K751" s="1">
        <v>43488</v>
      </c>
      <c r="L751" s="2">
        <v>0.43958333333333333</v>
      </c>
      <c r="M751" t="s">
        <v>29</v>
      </c>
      <c r="N751">
        <v>699.72</v>
      </c>
      <c r="O751">
        <v>4.7619047620000003</v>
      </c>
      <c r="P751">
        <v>34.985999999999997</v>
      </c>
      <c r="Q751">
        <v>6.1</v>
      </c>
      <c r="R751" s="3">
        <f t="shared" si="34"/>
        <v>43488.439583333333</v>
      </c>
      <c r="S751">
        <f t="shared" si="36"/>
        <v>7.9999999946448952</v>
      </c>
      <c r="T751">
        <f t="shared" si="35"/>
        <v>8</v>
      </c>
    </row>
    <row r="752" spans="1:20">
      <c r="A752" t="s">
        <v>852</v>
      </c>
      <c r="B752" t="s">
        <v>25</v>
      </c>
      <c r="C752" t="s">
        <v>26</v>
      </c>
      <c r="D752" t="s">
        <v>27</v>
      </c>
      <c r="E752" t="s">
        <v>21</v>
      </c>
      <c r="F752" t="s">
        <v>45</v>
      </c>
      <c r="G752">
        <v>45.44</v>
      </c>
      <c r="H752">
        <v>7</v>
      </c>
      <c r="I752">
        <v>15.904</v>
      </c>
      <c r="J752">
        <v>333.98399999999998</v>
      </c>
      <c r="K752" s="1">
        <v>43488</v>
      </c>
      <c r="L752" s="2">
        <v>0.46875</v>
      </c>
      <c r="M752" t="s">
        <v>29</v>
      </c>
      <c r="N752">
        <v>318.08</v>
      </c>
      <c r="O752">
        <v>4.7619047620000003</v>
      </c>
      <c r="P752">
        <v>15.904</v>
      </c>
      <c r="Q752">
        <v>9.1999999999999993</v>
      </c>
      <c r="R752" s="3">
        <f t="shared" si="34"/>
        <v>43488.46875</v>
      </c>
      <c r="S752">
        <f t="shared" si="36"/>
        <v>42.000000000698492</v>
      </c>
      <c r="T752">
        <f t="shared" si="35"/>
        <v>42</v>
      </c>
    </row>
    <row r="753" spans="1:20">
      <c r="A753" t="s">
        <v>217</v>
      </c>
      <c r="B753" t="s">
        <v>25</v>
      </c>
      <c r="C753" t="s">
        <v>26</v>
      </c>
      <c r="D753" t="s">
        <v>20</v>
      </c>
      <c r="E753" t="s">
        <v>177</v>
      </c>
      <c r="F753" t="s">
        <v>43</v>
      </c>
      <c r="G753">
        <v>38.47</v>
      </c>
      <c r="H753">
        <v>8</v>
      </c>
      <c r="I753">
        <v>15.388</v>
      </c>
      <c r="J753">
        <v>323.14800000000002</v>
      </c>
      <c r="K753" s="1">
        <v>43488</v>
      </c>
      <c r="L753" s="2">
        <v>0.49375000000000002</v>
      </c>
      <c r="M753" t="s">
        <v>29</v>
      </c>
      <c r="N753">
        <v>307.76</v>
      </c>
      <c r="O753">
        <v>4.7619047620000003</v>
      </c>
      <c r="P753">
        <v>15.388</v>
      </c>
      <c r="Q753">
        <v>7.7</v>
      </c>
      <c r="R753" s="3">
        <f t="shared" si="34"/>
        <v>43488.493750000001</v>
      </c>
      <c r="S753">
        <f t="shared" si="36"/>
        <v>36.000000002095476</v>
      </c>
      <c r="T753">
        <f t="shared" si="35"/>
        <v>36</v>
      </c>
    </row>
    <row r="754" spans="1:20">
      <c r="A754" t="s">
        <v>506</v>
      </c>
      <c r="B754" t="s">
        <v>25</v>
      </c>
      <c r="C754" t="s">
        <v>26</v>
      </c>
      <c r="D754" t="s">
        <v>20</v>
      </c>
      <c r="E754" t="s">
        <v>21</v>
      </c>
      <c r="F754" t="s">
        <v>31</v>
      </c>
      <c r="G754">
        <v>83.77</v>
      </c>
      <c r="H754">
        <v>6</v>
      </c>
      <c r="I754">
        <v>25.131</v>
      </c>
      <c r="J754">
        <v>527.75099999999998</v>
      </c>
      <c r="K754" s="1">
        <v>43488</v>
      </c>
      <c r="L754" s="2">
        <v>0.50694444444444442</v>
      </c>
      <c r="M754" t="s">
        <v>23</v>
      </c>
      <c r="N754">
        <v>502.62</v>
      </c>
      <c r="O754">
        <v>4.7619047620000003</v>
      </c>
      <c r="P754">
        <v>25.131</v>
      </c>
      <c r="Q754">
        <v>5.4</v>
      </c>
      <c r="R754" s="3">
        <f t="shared" si="34"/>
        <v>43488.506944444445</v>
      </c>
      <c r="S754">
        <f t="shared" si="36"/>
        <v>18.999999999068677</v>
      </c>
      <c r="T754">
        <f t="shared" si="35"/>
        <v>19</v>
      </c>
    </row>
    <row r="755" spans="1:20">
      <c r="A755" t="s">
        <v>175</v>
      </c>
      <c r="B755" t="s">
        <v>25</v>
      </c>
      <c r="C755" t="s">
        <v>26</v>
      </c>
      <c r="D755" t="s">
        <v>20</v>
      </c>
      <c r="E755" t="s">
        <v>21</v>
      </c>
      <c r="F755" t="s">
        <v>35</v>
      </c>
      <c r="G755">
        <v>89.8</v>
      </c>
      <c r="H755">
        <v>10</v>
      </c>
      <c r="I755">
        <v>44.9</v>
      </c>
      <c r="J755">
        <v>942.9</v>
      </c>
      <c r="K755" s="1">
        <v>43488</v>
      </c>
      <c r="L755" s="2">
        <v>0.54166666666666663</v>
      </c>
      <c r="M755" t="s">
        <v>32</v>
      </c>
      <c r="N755">
        <v>898</v>
      </c>
      <c r="O755">
        <v>4.7619047620000003</v>
      </c>
      <c r="P755">
        <v>44.9</v>
      </c>
      <c r="Q755">
        <v>5.4</v>
      </c>
      <c r="R755" s="3">
        <f t="shared" si="34"/>
        <v>43488.541666666664</v>
      </c>
      <c r="S755">
        <f t="shared" si="36"/>
        <v>49.999999995343387</v>
      </c>
      <c r="T755">
        <f t="shared" si="35"/>
        <v>50</v>
      </c>
    </row>
    <row r="756" spans="1:20">
      <c r="A756" t="s">
        <v>457</v>
      </c>
      <c r="B756" t="s">
        <v>25</v>
      </c>
      <c r="C756" t="s">
        <v>26</v>
      </c>
      <c r="D756" t="s">
        <v>27</v>
      </c>
      <c r="E756" t="s">
        <v>21</v>
      </c>
      <c r="F756" t="s">
        <v>28</v>
      </c>
      <c r="G756">
        <v>84.05</v>
      </c>
      <c r="H756">
        <v>3</v>
      </c>
      <c r="I756">
        <v>12.6075</v>
      </c>
      <c r="J756">
        <v>264.75749999999999</v>
      </c>
      <c r="K756" s="1">
        <v>43488</v>
      </c>
      <c r="L756" s="2">
        <v>0.56180555555555556</v>
      </c>
      <c r="M756" t="s">
        <v>29</v>
      </c>
      <c r="N756">
        <v>252.15</v>
      </c>
      <c r="O756">
        <v>4.7619047620000003</v>
      </c>
      <c r="P756">
        <v>12.6075</v>
      </c>
      <c r="Q756">
        <v>9.8000000000000007</v>
      </c>
      <c r="R756" s="3">
        <f t="shared" si="34"/>
        <v>43488.561805555553</v>
      </c>
      <c r="S756">
        <f t="shared" si="36"/>
        <v>29.000000000232831</v>
      </c>
      <c r="T756">
        <f t="shared" si="35"/>
        <v>29</v>
      </c>
    </row>
    <row r="757" spans="1:20">
      <c r="A757" t="s">
        <v>636</v>
      </c>
      <c r="B757" t="s">
        <v>25</v>
      </c>
      <c r="C757" t="s">
        <v>26</v>
      </c>
      <c r="D757" t="s">
        <v>27</v>
      </c>
      <c r="E757" t="s">
        <v>177</v>
      </c>
      <c r="F757" t="s">
        <v>28</v>
      </c>
      <c r="G757">
        <v>83.08</v>
      </c>
      <c r="H757">
        <v>1</v>
      </c>
      <c r="I757">
        <v>4.1539999999999999</v>
      </c>
      <c r="J757">
        <v>87.233999999999995</v>
      </c>
      <c r="K757" s="1">
        <v>43488</v>
      </c>
      <c r="L757" s="2">
        <v>0.71944444444444444</v>
      </c>
      <c r="M757" t="s">
        <v>23</v>
      </c>
      <c r="N757">
        <v>83.08</v>
      </c>
      <c r="O757">
        <v>4.7619047620000003</v>
      </c>
      <c r="P757">
        <v>4.1539999999999999</v>
      </c>
      <c r="Q757">
        <v>6.4</v>
      </c>
      <c r="R757" s="3">
        <f t="shared" si="34"/>
        <v>43488.719444444447</v>
      </c>
      <c r="S757">
        <f t="shared" si="36"/>
        <v>227.00000000651926</v>
      </c>
      <c r="T757">
        <f t="shared" si="35"/>
        <v>227</v>
      </c>
    </row>
    <row r="758" spans="1:20">
      <c r="A758" t="s">
        <v>117</v>
      </c>
      <c r="B758" t="s">
        <v>25</v>
      </c>
      <c r="C758" t="s">
        <v>26</v>
      </c>
      <c r="D758" t="s">
        <v>20</v>
      </c>
      <c r="E758" t="s">
        <v>21</v>
      </c>
      <c r="F758" t="s">
        <v>43</v>
      </c>
      <c r="G758">
        <v>19.25</v>
      </c>
      <c r="H758">
        <v>8</v>
      </c>
      <c r="I758">
        <v>7.7</v>
      </c>
      <c r="J758">
        <v>161.69999999999999</v>
      </c>
      <c r="K758" s="1">
        <v>43488</v>
      </c>
      <c r="L758" s="2">
        <v>0.77569444444444446</v>
      </c>
      <c r="M758" t="s">
        <v>23</v>
      </c>
      <c r="N758">
        <v>154</v>
      </c>
      <c r="O758">
        <v>4.7619047620000003</v>
      </c>
      <c r="P758">
        <v>7.7</v>
      </c>
      <c r="Q758">
        <v>6.6</v>
      </c>
      <c r="R758" s="3">
        <f t="shared" si="34"/>
        <v>43488.775694444441</v>
      </c>
      <c r="S758">
        <f t="shared" si="36"/>
        <v>80.999999991618097</v>
      </c>
      <c r="T758">
        <f t="shared" si="35"/>
        <v>81</v>
      </c>
    </row>
    <row r="759" spans="1:20" hidden="1">
      <c r="A759" t="s">
        <v>832</v>
      </c>
      <c r="B759" t="s">
        <v>25</v>
      </c>
      <c r="C759" t="s">
        <v>26</v>
      </c>
      <c r="D759" t="s">
        <v>20</v>
      </c>
      <c r="E759" t="s">
        <v>21</v>
      </c>
      <c r="F759" t="s">
        <v>31</v>
      </c>
      <c r="G759">
        <v>60.87</v>
      </c>
      <c r="H759">
        <v>1</v>
      </c>
      <c r="I759">
        <v>3.0434999999999999</v>
      </c>
      <c r="J759">
        <v>63.913499999999999</v>
      </c>
      <c r="K759" s="1">
        <v>43489</v>
      </c>
      <c r="L759" s="2">
        <v>0.55833333333333335</v>
      </c>
      <c r="M759" t="s">
        <v>29</v>
      </c>
      <c r="N759">
        <v>60.87</v>
      </c>
      <c r="O759">
        <v>4.7619047620000003</v>
      </c>
      <c r="P759">
        <v>3.0434999999999999</v>
      </c>
      <c r="Q759">
        <v>5.5</v>
      </c>
      <c r="R759" s="3">
        <f t="shared" si="34"/>
        <v>43489.558333333334</v>
      </c>
      <c r="S759" t="str">
        <f t="shared" si="36"/>
        <v/>
      </c>
      <c r="T759" t="str">
        <f t="shared" si="35"/>
        <v/>
      </c>
    </row>
    <row r="760" spans="1:20">
      <c r="A760" t="s">
        <v>971</v>
      </c>
      <c r="B760" t="s">
        <v>25</v>
      </c>
      <c r="C760" t="s">
        <v>26</v>
      </c>
      <c r="D760" t="s">
        <v>20</v>
      </c>
      <c r="E760" t="s">
        <v>177</v>
      </c>
      <c r="F760" t="s">
        <v>31</v>
      </c>
      <c r="G760">
        <v>85.72</v>
      </c>
      <c r="H760">
        <v>3</v>
      </c>
      <c r="I760">
        <v>12.858000000000001</v>
      </c>
      <c r="J760">
        <v>270.01799999999997</v>
      </c>
      <c r="K760" s="1">
        <v>43489</v>
      </c>
      <c r="L760" s="2">
        <v>0.87430555555555556</v>
      </c>
      <c r="M760" t="s">
        <v>23</v>
      </c>
      <c r="N760">
        <v>257.16000000000003</v>
      </c>
      <c r="O760">
        <v>4.7619047620000003</v>
      </c>
      <c r="P760">
        <v>12.858000000000001</v>
      </c>
      <c r="Q760">
        <v>5.0999999999999996</v>
      </c>
      <c r="R760" s="3">
        <f t="shared" si="34"/>
        <v>43489.874305555553</v>
      </c>
      <c r="S760">
        <f t="shared" si="36"/>
        <v>454.99999999534339</v>
      </c>
      <c r="T760">
        <f t="shared" si="35"/>
        <v>455</v>
      </c>
    </row>
    <row r="761" spans="1:20" hidden="1">
      <c r="A761" t="s">
        <v>726</v>
      </c>
      <c r="B761" t="s">
        <v>25</v>
      </c>
      <c r="C761" t="s">
        <v>26</v>
      </c>
      <c r="D761" t="s">
        <v>20</v>
      </c>
      <c r="E761" t="s">
        <v>21</v>
      </c>
      <c r="F761" t="s">
        <v>35</v>
      </c>
      <c r="G761">
        <v>70.19</v>
      </c>
      <c r="H761">
        <v>9</v>
      </c>
      <c r="I761">
        <v>31.5855</v>
      </c>
      <c r="J761">
        <v>663.29549999999995</v>
      </c>
      <c r="K761" s="1">
        <v>43490</v>
      </c>
      <c r="L761" s="2">
        <v>0.56805555555555554</v>
      </c>
      <c r="M761" t="s">
        <v>29</v>
      </c>
      <c r="N761">
        <v>631.71</v>
      </c>
      <c r="O761">
        <v>4.7619047620000003</v>
      </c>
      <c r="P761">
        <v>31.5855</v>
      </c>
      <c r="Q761">
        <v>6.7</v>
      </c>
      <c r="R761" s="3">
        <f t="shared" si="34"/>
        <v>43490.568055555559</v>
      </c>
      <c r="S761" t="str">
        <f t="shared" si="36"/>
        <v/>
      </c>
      <c r="T761" t="str">
        <f t="shared" si="35"/>
        <v/>
      </c>
    </row>
    <row r="762" spans="1:20">
      <c r="A762" t="s">
        <v>176</v>
      </c>
      <c r="B762" t="s">
        <v>25</v>
      </c>
      <c r="C762" t="s">
        <v>26</v>
      </c>
      <c r="D762" t="s">
        <v>20</v>
      </c>
      <c r="E762" t="s">
        <v>177</v>
      </c>
      <c r="F762" t="s">
        <v>22</v>
      </c>
      <c r="G762">
        <v>90.5</v>
      </c>
      <c r="H762">
        <v>10</v>
      </c>
      <c r="I762">
        <v>45.25</v>
      </c>
      <c r="J762">
        <v>950.25</v>
      </c>
      <c r="K762" s="1">
        <v>43490</v>
      </c>
      <c r="L762" s="2">
        <v>0.57499999999999996</v>
      </c>
      <c r="M762" t="s">
        <v>29</v>
      </c>
      <c r="N762">
        <v>905</v>
      </c>
      <c r="O762">
        <v>4.7619047620000003</v>
      </c>
      <c r="P762">
        <v>45.25</v>
      </c>
      <c r="Q762">
        <v>8.1</v>
      </c>
      <c r="R762" s="3">
        <f t="shared" si="34"/>
        <v>43490.574999999997</v>
      </c>
      <c r="S762">
        <f t="shared" si="36"/>
        <v>9.9999999906867743</v>
      </c>
      <c r="T762">
        <f t="shared" si="35"/>
        <v>10</v>
      </c>
    </row>
    <row r="763" spans="1:20">
      <c r="A763" t="s">
        <v>219</v>
      </c>
      <c r="B763" t="s">
        <v>25</v>
      </c>
      <c r="C763" t="s">
        <v>26</v>
      </c>
      <c r="D763" t="s">
        <v>27</v>
      </c>
      <c r="E763" t="s">
        <v>177</v>
      </c>
      <c r="F763" t="s">
        <v>22</v>
      </c>
      <c r="G763">
        <v>34.31</v>
      </c>
      <c r="H763">
        <v>8</v>
      </c>
      <c r="I763">
        <v>13.724</v>
      </c>
      <c r="J763">
        <v>288.20400000000001</v>
      </c>
      <c r="K763" s="1">
        <v>43490</v>
      </c>
      <c r="L763" s="2">
        <v>0.625</v>
      </c>
      <c r="M763" t="s">
        <v>23</v>
      </c>
      <c r="N763">
        <v>274.48</v>
      </c>
      <c r="O763">
        <v>4.7619047620000003</v>
      </c>
      <c r="P763">
        <v>13.724</v>
      </c>
      <c r="Q763">
        <v>5.7</v>
      </c>
      <c r="R763" s="3">
        <f t="shared" si="34"/>
        <v>43490.625</v>
      </c>
      <c r="S763">
        <f t="shared" si="36"/>
        <v>72.000000004190952</v>
      </c>
      <c r="T763">
        <f t="shared" si="35"/>
        <v>72</v>
      </c>
    </row>
    <row r="764" spans="1:20">
      <c r="A764" t="s">
        <v>88</v>
      </c>
      <c r="B764" t="s">
        <v>25</v>
      </c>
      <c r="C764" t="s">
        <v>26</v>
      </c>
      <c r="D764" t="s">
        <v>20</v>
      </c>
      <c r="E764" t="s">
        <v>21</v>
      </c>
      <c r="F764" t="s">
        <v>45</v>
      </c>
      <c r="G764">
        <v>15.43</v>
      </c>
      <c r="H764">
        <v>1</v>
      </c>
      <c r="I764">
        <v>0.77149999999999996</v>
      </c>
      <c r="J764">
        <v>16.201499999999999</v>
      </c>
      <c r="K764" s="1">
        <v>43490</v>
      </c>
      <c r="L764" s="2">
        <v>0.65694444444444444</v>
      </c>
      <c r="M764" t="s">
        <v>32</v>
      </c>
      <c r="N764">
        <v>15.43</v>
      </c>
      <c r="O764">
        <v>4.7619047620000003</v>
      </c>
      <c r="P764">
        <v>0.77149999999999996</v>
      </c>
      <c r="Q764">
        <v>6.1</v>
      </c>
      <c r="R764" s="3">
        <f t="shared" si="34"/>
        <v>43490.656944444447</v>
      </c>
      <c r="S764">
        <f t="shared" si="36"/>
        <v>46.000000003259629</v>
      </c>
      <c r="T764">
        <f t="shared" si="35"/>
        <v>46</v>
      </c>
    </row>
    <row r="765" spans="1:20">
      <c r="A765" t="s">
        <v>790</v>
      </c>
      <c r="B765" t="s">
        <v>25</v>
      </c>
      <c r="C765" t="s">
        <v>26</v>
      </c>
      <c r="D765" t="s">
        <v>20</v>
      </c>
      <c r="E765" t="s">
        <v>21</v>
      </c>
      <c r="F765" t="s">
        <v>45</v>
      </c>
      <c r="G765">
        <v>84.87</v>
      </c>
      <c r="H765">
        <v>3</v>
      </c>
      <c r="I765">
        <v>12.730499999999999</v>
      </c>
      <c r="J765">
        <v>267.34050000000002</v>
      </c>
      <c r="K765" s="1">
        <v>43490</v>
      </c>
      <c r="L765" s="2">
        <v>0.77083333333333337</v>
      </c>
      <c r="M765" t="s">
        <v>23</v>
      </c>
      <c r="N765">
        <v>254.61</v>
      </c>
      <c r="O765">
        <v>4.7619047620000003</v>
      </c>
      <c r="P765">
        <v>12.730499999999999</v>
      </c>
      <c r="Q765">
        <v>7.4</v>
      </c>
      <c r="R765" s="3">
        <f t="shared" si="34"/>
        <v>43490.770833333336</v>
      </c>
      <c r="S765">
        <f t="shared" si="36"/>
        <v>164.00000000023283</v>
      </c>
      <c r="T765">
        <f t="shared" si="35"/>
        <v>164</v>
      </c>
    </row>
    <row r="766" spans="1:20" hidden="1">
      <c r="A766" t="s">
        <v>637</v>
      </c>
      <c r="B766" t="s">
        <v>25</v>
      </c>
      <c r="C766" t="s">
        <v>26</v>
      </c>
      <c r="D766" t="s">
        <v>27</v>
      </c>
      <c r="E766" t="s">
        <v>21</v>
      </c>
      <c r="F766" t="s">
        <v>45</v>
      </c>
      <c r="G766">
        <v>64.989999999999995</v>
      </c>
      <c r="H766">
        <v>1</v>
      </c>
      <c r="I766">
        <v>3.2494999999999998</v>
      </c>
      <c r="J766">
        <v>68.239500000000007</v>
      </c>
      <c r="K766" s="1">
        <v>43491</v>
      </c>
      <c r="L766" s="2">
        <v>0.42083333333333334</v>
      </c>
      <c r="M766" t="s">
        <v>32</v>
      </c>
      <c r="N766">
        <v>64.989999999999995</v>
      </c>
      <c r="O766">
        <v>4.7619047620000003</v>
      </c>
      <c r="P766">
        <v>3.2494999999999998</v>
      </c>
      <c r="Q766">
        <v>4.5</v>
      </c>
      <c r="R766" s="3">
        <f t="shared" si="34"/>
        <v>43491.42083333333</v>
      </c>
      <c r="S766" t="str">
        <f t="shared" si="36"/>
        <v/>
      </c>
      <c r="T766" t="str">
        <f t="shared" si="35"/>
        <v/>
      </c>
    </row>
    <row r="767" spans="1:20">
      <c r="A767" t="s">
        <v>901</v>
      </c>
      <c r="B767" t="s">
        <v>25</v>
      </c>
      <c r="C767" t="s">
        <v>26</v>
      </c>
      <c r="D767" t="s">
        <v>20</v>
      </c>
      <c r="E767" t="s">
        <v>177</v>
      </c>
      <c r="F767" t="s">
        <v>22</v>
      </c>
      <c r="G767">
        <v>33.81</v>
      </c>
      <c r="H767">
        <v>3</v>
      </c>
      <c r="I767">
        <v>5.0715000000000003</v>
      </c>
      <c r="J767">
        <v>106.50149999999999</v>
      </c>
      <c r="K767" s="1">
        <v>43491</v>
      </c>
      <c r="L767" s="2">
        <v>0.63263888888888886</v>
      </c>
      <c r="M767" t="s">
        <v>23</v>
      </c>
      <c r="N767">
        <v>101.43</v>
      </c>
      <c r="O767">
        <v>4.7619047620000003</v>
      </c>
      <c r="P767">
        <v>5.0715000000000003</v>
      </c>
      <c r="Q767">
        <v>7.3</v>
      </c>
      <c r="R767" s="3">
        <f t="shared" si="34"/>
        <v>43491.632638888892</v>
      </c>
      <c r="S767">
        <f t="shared" si="36"/>
        <v>305.00000000931323</v>
      </c>
      <c r="T767">
        <f t="shared" si="35"/>
        <v>305</v>
      </c>
    </row>
    <row r="768" spans="1:20">
      <c r="A768" t="s">
        <v>634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36.85</v>
      </c>
      <c r="H768">
        <v>5</v>
      </c>
      <c r="I768">
        <v>9.2125000000000004</v>
      </c>
      <c r="J768">
        <v>193.46250000000001</v>
      </c>
      <c r="K768" s="1">
        <v>43491</v>
      </c>
      <c r="L768" s="2">
        <v>0.78680555555555554</v>
      </c>
      <c r="M768" t="s">
        <v>29</v>
      </c>
      <c r="N768">
        <v>184.25</v>
      </c>
      <c r="O768">
        <v>4.7619047620000003</v>
      </c>
      <c r="P768">
        <v>9.2125000000000004</v>
      </c>
      <c r="Q768">
        <v>9.1999999999999993</v>
      </c>
      <c r="R768" s="3">
        <f t="shared" si="34"/>
        <v>43491.786805555559</v>
      </c>
      <c r="S768">
        <f t="shared" si="36"/>
        <v>222.00000000069849</v>
      </c>
      <c r="T768">
        <f t="shared" si="35"/>
        <v>222</v>
      </c>
    </row>
    <row r="769" spans="1:20">
      <c r="A769" t="s">
        <v>126</v>
      </c>
      <c r="B769" t="s">
        <v>25</v>
      </c>
      <c r="C769" t="s">
        <v>26</v>
      </c>
      <c r="D769" t="s">
        <v>20</v>
      </c>
      <c r="E769" t="s">
        <v>21</v>
      </c>
      <c r="F769" t="s">
        <v>35</v>
      </c>
      <c r="G769">
        <v>44.86</v>
      </c>
      <c r="H769">
        <v>10</v>
      </c>
      <c r="I769">
        <v>22.43</v>
      </c>
      <c r="J769">
        <v>471.03</v>
      </c>
      <c r="K769" s="1">
        <v>43491</v>
      </c>
      <c r="L769" s="2">
        <v>0.82916666666666672</v>
      </c>
      <c r="M769" t="s">
        <v>23</v>
      </c>
      <c r="N769">
        <v>448.6</v>
      </c>
      <c r="O769">
        <v>4.7619047620000003</v>
      </c>
      <c r="P769">
        <v>22.43</v>
      </c>
      <c r="Q769">
        <v>8.1999999999999993</v>
      </c>
      <c r="R769" s="3">
        <f t="shared" si="34"/>
        <v>43491.82916666667</v>
      </c>
      <c r="S769">
        <f t="shared" si="36"/>
        <v>60.999999999767169</v>
      </c>
      <c r="T769">
        <f t="shared" si="35"/>
        <v>61</v>
      </c>
    </row>
    <row r="770" spans="1:20" hidden="1">
      <c r="A770" t="s">
        <v>533</v>
      </c>
      <c r="B770" t="s">
        <v>25</v>
      </c>
      <c r="C770" t="s">
        <v>26</v>
      </c>
      <c r="D770" t="s">
        <v>27</v>
      </c>
      <c r="E770" t="s">
        <v>21</v>
      </c>
      <c r="F770" t="s">
        <v>43</v>
      </c>
      <c r="G770">
        <v>90.24</v>
      </c>
      <c r="H770">
        <v>6</v>
      </c>
      <c r="I770">
        <v>27.071999999999999</v>
      </c>
      <c r="J770">
        <v>568.51199999999994</v>
      </c>
      <c r="K770" s="1">
        <v>43492</v>
      </c>
      <c r="L770" s="2">
        <v>0.47013888888888888</v>
      </c>
      <c r="M770" t="s">
        <v>29</v>
      </c>
      <c r="N770">
        <v>541.44000000000005</v>
      </c>
      <c r="O770">
        <v>4.7619047620000003</v>
      </c>
      <c r="P770">
        <v>27.071999999999999</v>
      </c>
      <c r="Q770">
        <v>6.2</v>
      </c>
      <c r="R770" s="3">
        <f t="shared" ref="R770:R833" si="37">K770+L770</f>
        <v>43492.470138888886</v>
      </c>
      <c r="S770" t="str">
        <f t="shared" si="36"/>
        <v/>
      </c>
      <c r="T770" t="str">
        <f t="shared" si="35"/>
        <v/>
      </c>
    </row>
    <row r="771" spans="1:20">
      <c r="A771" t="s">
        <v>494</v>
      </c>
      <c r="B771" t="s">
        <v>25</v>
      </c>
      <c r="C771" t="s">
        <v>26</v>
      </c>
      <c r="D771" t="s">
        <v>20</v>
      </c>
      <c r="E771" t="s">
        <v>21</v>
      </c>
      <c r="F771" t="s">
        <v>28</v>
      </c>
      <c r="G771">
        <v>46.57</v>
      </c>
      <c r="H771">
        <v>10</v>
      </c>
      <c r="I771">
        <v>23.285</v>
      </c>
      <c r="J771">
        <v>488.98500000000001</v>
      </c>
      <c r="K771" s="1">
        <v>43492</v>
      </c>
      <c r="L771" s="2">
        <v>0.58194444444444449</v>
      </c>
      <c r="M771" t="s">
        <v>29</v>
      </c>
      <c r="N771">
        <v>465.7</v>
      </c>
      <c r="O771">
        <v>4.7619047620000003</v>
      </c>
      <c r="P771">
        <v>23.285</v>
      </c>
      <c r="Q771">
        <v>7.6</v>
      </c>
      <c r="R771" s="3">
        <f t="shared" si="37"/>
        <v>43492.581944444442</v>
      </c>
      <c r="S771">
        <f t="shared" si="36"/>
        <v>161.00000000093132</v>
      </c>
      <c r="T771">
        <f t="shared" ref="T771:T834" si="38">IF(S771="","",ROUND(S771,2))</f>
        <v>161</v>
      </c>
    </row>
    <row r="772" spans="1:20">
      <c r="A772" t="s">
        <v>404</v>
      </c>
      <c r="B772" t="s">
        <v>25</v>
      </c>
      <c r="C772" t="s">
        <v>26</v>
      </c>
      <c r="D772" t="s">
        <v>27</v>
      </c>
      <c r="E772" t="s">
        <v>21</v>
      </c>
      <c r="F772" t="s">
        <v>35</v>
      </c>
      <c r="G772">
        <v>14.36</v>
      </c>
      <c r="H772">
        <v>10</v>
      </c>
      <c r="I772">
        <v>7.18</v>
      </c>
      <c r="J772">
        <v>150.78</v>
      </c>
      <c r="K772" s="1">
        <v>43492</v>
      </c>
      <c r="L772" s="2">
        <v>0.60277777777777775</v>
      </c>
      <c r="M772" t="s">
        <v>29</v>
      </c>
      <c r="N772">
        <v>143.6</v>
      </c>
      <c r="O772">
        <v>4.7619047620000003</v>
      </c>
      <c r="P772">
        <v>7.18</v>
      </c>
      <c r="Q772">
        <v>5.4</v>
      </c>
      <c r="R772" s="3">
        <f t="shared" si="37"/>
        <v>43492.602777777778</v>
      </c>
      <c r="S772">
        <f t="shared" si="36"/>
        <v>30.00000000349246</v>
      </c>
      <c r="T772">
        <f t="shared" si="38"/>
        <v>30</v>
      </c>
    </row>
    <row r="773" spans="1:20">
      <c r="A773" t="s">
        <v>424</v>
      </c>
      <c r="B773" t="s">
        <v>25</v>
      </c>
      <c r="C773" t="s">
        <v>26</v>
      </c>
      <c r="D773" t="s">
        <v>20</v>
      </c>
      <c r="E773" t="s">
        <v>21</v>
      </c>
      <c r="F773" t="s">
        <v>45</v>
      </c>
      <c r="G773">
        <v>54.07</v>
      </c>
      <c r="H773">
        <v>9</v>
      </c>
      <c r="I773">
        <v>24.331499999999998</v>
      </c>
      <c r="J773">
        <v>510.9615</v>
      </c>
      <c r="K773" s="1">
        <v>43492</v>
      </c>
      <c r="L773" s="2">
        <v>0.62152777777777779</v>
      </c>
      <c r="M773" t="s">
        <v>23</v>
      </c>
      <c r="N773">
        <v>486.63</v>
      </c>
      <c r="O773">
        <v>4.7619047620000003</v>
      </c>
      <c r="P773">
        <v>24.331499999999998</v>
      </c>
      <c r="Q773">
        <v>9.5</v>
      </c>
      <c r="R773" s="3">
        <f t="shared" si="37"/>
        <v>43492.621527777781</v>
      </c>
      <c r="S773">
        <f t="shared" si="36"/>
        <v>27.000000004190952</v>
      </c>
      <c r="T773">
        <f t="shared" si="38"/>
        <v>27</v>
      </c>
    </row>
    <row r="774" spans="1:20">
      <c r="A774" t="s">
        <v>627</v>
      </c>
      <c r="B774" t="s">
        <v>25</v>
      </c>
      <c r="C774" t="s">
        <v>26</v>
      </c>
      <c r="D774" t="s">
        <v>20</v>
      </c>
      <c r="E774" t="s">
        <v>21</v>
      </c>
      <c r="F774" t="s">
        <v>31</v>
      </c>
      <c r="G774">
        <v>24.24</v>
      </c>
      <c r="H774">
        <v>7</v>
      </c>
      <c r="I774">
        <v>8.484</v>
      </c>
      <c r="J774">
        <v>178.16399999999999</v>
      </c>
      <c r="K774" s="1">
        <v>43492</v>
      </c>
      <c r="L774" s="2">
        <v>0.73472222222222228</v>
      </c>
      <c r="M774" t="s">
        <v>23</v>
      </c>
      <c r="N774">
        <v>169.68</v>
      </c>
      <c r="O774">
        <v>4.7619047620000003</v>
      </c>
      <c r="P774">
        <v>8.484</v>
      </c>
      <c r="Q774">
        <v>9.4</v>
      </c>
      <c r="R774" s="3">
        <f t="shared" si="37"/>
        <v>43492.734722222223</v>
      </c>
      <c r="S774">
        <f t="shared" si="36"/>
        <v>162.9999999969732</v>
      </c>
      <c r="T774">
        <f t="shared" si="38"/>
        <v>163</v>
      </c>
    </row>
    <row r="775" spans="1:20">
      <c r="A775" t="s">
        <v>538</v>
      </c>
      <c r="B775" t="s">
        <v>25</v>
      </c>
      <c r="C775" t="s">
        <v>26</v>
      </c>
      <c r="D775" t="s">
        <v>27</v>
      </c>
      <c r="E775" t="s">
        <v>177</v>
      </c>
      <c r="F775" t="s">
        <v>31</v>
      </c>
      <c r="G775">
        <v>69.400000000000006</v>
      </c>
      <c r="H775">
        <v>2</v>
      </c>
      <c r="I775">
        <v>6.94</v>
      </c>
      <c r="J775">
        <v>145.74</v>
      </c>
      <c r="K775" s="1">
        <v>43492</v>
      </c>
      <c r="L775" s="2">
        <v>0.82499999999999996</v>
      </c>
      <c r="M775" t="s">
        <v>23</v>
      </c>
      <c r="N775">
        <v>138.80000000000001</v>
      </c>
      <c r="O775">
        <v>4.7619047620000003</v>
      </c>
      <c r="P775">
        <v>6.94</v>
      </c>
      <c r="Q775">
        <v>9</v>
      </c>
      <c r="R775" s="3">
        <f t="shared" si="37"/>
        <v>43492.824999999997</v>
      </c>
      <c r="S775">
        <f t="shared" si="36"/>
        <v>129.99999999417923</v>
      </c>
      <c r="T775">
        <f t="shared" si="38"/>
        <v>130</v>
      </c>
    </row>
    <row r="776" spans="1:20" hidden="1">
      <c r="A776" t="s">
        <v>190</v>
      </c>
      <c r="B776" t="s">
        <v>25</v>
      </c>
      <c r="C776" t="s">
        <v>26</v>
      </c>
      <c r="D776" t="s">
        <v>27</v>
      </c>
      <c r="E776" t="s">
        <v>21</v>
      </c>
      <c r="F776" t="s">
        <v>35</v>
      </c>
      <c r="G776">
        <v>80.97</v>
      </c>
      <c r="H776">
        <v>8</v>
      </c>
      <c r="I776">
        <v>32.387999999999998</v>
      </c>
      <c r="J776">
        <v>680.14800000000002</v>
      </c>
      <c r="K776" s="1">
        <v>43493</v>
      </c>
      <c r="L776" s="2">
        <v>0.54513888888888884</v>
      </c>
      <c r="M776" t="s">
        <v>29</v>
      </c>
      <c r="N776">
        <v>647.76</v>
      </c>
      <c r="O776">
        <v>4.7619047620000003</v>
      </c>
      <c r="P776">
        <v>32.387999999999998</v>
      </c>
      <c r="Q776">
        <v>9.3000000000000007</v>
      </c>
      <c r="R776" s="3">
        <f t="shared" si="37"/>
        <v>43493.545138888891</v>
      </c>
      <c r="S776" t="str">
        <f t="shared" si="36"/>
        <v/>
      </c>
      <c r="T776" t="str">
        <f t="shared" si="38"/>
        <v/>
      </c>
    </row>
    <row r="777" spans="1:20">
      <c r="A777" t="s">
        <v>272</v>
      </c>
      <c r="B777" t="s">
        <v>25</v>
      </c>
      <c r="C777" t="s">
        <v>26</v>
      </c>
      <c r="D777" t="s">
        <v>27</v>
      </c>
      <c r="E777" t="s">
        <v>177</v>
      </c>
      <c r="F777" t="s">
        <v>22</v>
      </c>
      <c r="G777">
        <v>17.41</v>
      </c>
      <c r="H777">
        <v>5</v>
      </c>
      <c r="I777">
        <v>4.3525</v>
      </c>
      <c r="J777">
        <v>91.402500000000003</v>
      </c>
      <c r="K777" s="1">
        <v>43493</v>
      </c>
      <c r="L777" s="2">
        <v>0.63611111111111107</v>
      </c>
      <c r="M777" t="s">
        <v>32</v>
      </c>
      <c r="N777">
        <v>87.05</v>
      </c>
      <c r="O777">
        <v>4.7619047620000003</v>
      </c>
      <c r="P777">
        <v>4.3525</v>
      </c>
      <c r="Q777">
        <v>4.9000000000000004</v>
      </c>
      <c r="R777" s="3">
        <f t="shared" si="37"/>
        <v>43493.636111111111</v>
      </c>
      <c r="S777">
        <f t="shared" si="36"/>
        <v>130.99999999743886</v>
      </c>
      <c r="T777">
        <f t="shared" si="38"/>
        <v>131</v>
      </c>
    </row>
    <row r="778" spans="1:20">
      <c r="A778" t="s">
        <v>579</v>
      </c>
      <c r="B778" t="s">
        <v>25</v>
      </c>
      <c r="C778" t="s">
        <v>26</v>
      </c>
      <c r="D778" t="s">
        <v>20</v>
      </c>
      <c r="E778" t="s">
        <v>177</v>
      </c>
      <c r="F778" t="s">
        <v>28</v>
      </c>
      <c r="G778">
        <v>18.77</v>
      </c>
      <c r="H778">
        <v>6</v>
      </c>
      <c r="I778">
        <v>5.6310000000000002</v>
      </c>
      <c r="J778">
        <v>118.251</v>
      </c>
      <c r="K778" s="1">
        <v>43493</v>
      </c>
      <c r="L778" s="2">
        <v>0.69652777777777775</v>
      </c>
      <c r="M778" t="s">
        <v>32</v>
      </c>
      <c r="N778">
        <v>112.62</v>
      </c>
      <c r="O778">
        <v>4.7619047620000003</v>
      </c>
      <c r="P778">
        <v>5.6310000000000002</v>
      </c>
      <c r="Q778">
        <v>5.5</v>
      </c>
      <c r="R778" s="3">
        <f t="shared" si="37"/>
        <v>43493.696527777778</v>
      </c>
      <c r="S778">
        <f t="shared" si="36"/>
        <v>87.000000000698492</v>
      </c>
      <c r="T778">
        <f t="shared" si="38"/>
        <v>87</v>
      </c>
    </row>
    <row r="779" spans="1:20">
      <c r="A779" t="s">
        <v>215</v>
      </c>
      <c r="B779" t="s">
        <v>25</v>
      </c>
      <c r="C779" t="s">
        <v>26</v>
      </c>
      <c r="D779" t="s">
        <v>20</v>
      </c>
      <c r="E779" t="s">
        <v>177</v>
      </c>
      <c r="F779" t="s">
        <v>22</v>
      </c>
      <c r="G779">
        <v>86.8</v>
      </c>
      <c r="H779">
        <v>3</v>
      </c>
      <c r="I779">
        <v>13.02</v>
      </c>
      <c r="J779">
        <v>273.42</v>
      </c>
      <c r="K779" s="1">
        <v>43493</v>
      </c>
      <c r="L779" s="2">
        <v>0.69930555555555551</v>
      </c>
      <c r="M779" t="s">
        <v>23</v>
      </c>
      <c r="N779">
        <v>260.39999999999998</v>
      </c>
      <c r="O779">
        <v>4.7619047620000003</v>
      </c>
      <c r="P779">
        <v>13.02</v>
      </c>
      <c r="Q779">
        <v>9.9</v>
      </c>
      <c r="R779" s="3">
        <f t="shared" si="37"/>
        <v>43493.699305555558</v>
      </c>
      <c r="S779">
        <f t="shared" si="36"/>
        <v>4.0000000025611371</v>
      </c>
      <c r="T779">
        <f t="shared" si="38"/>
        <v>4</v>
      </c>
    </row>
    <row r="780" spans="1:20">
      <c r="A780" t="s">
        <v>445</v>
      </c>
      <c r="B780" t="s">
        <v>25</v>
      </c>
      <c r="C780" t="s">
        <v>26</v>
      </c>
      <c r="D780" t="s">
        <v>27</v>
      </c>
      <c r="E780" t="s">
        <v>21</v>
      </c>
      <c r="F780" t="s">
        <v>45</v>
      </c>
      <c r="G780">
        <v>23.82</v>
      </c>
      <c r="H780">
        <v>5</v>
      </c>
      <c r="I780">
        <v>5.9550000000000001</v>
      </c>
      <c r="J780">
        <v>125.05500000000001</v>
      </c>
      <c r="K780" s="1">
        <v>43493</v>
      </c>
      <c r="L780" s="2">
        <v>0.80833333333333335</v>
      </c>
      <c r="M780" t="s">
        <v>23</v>
      </c>
      <c r="N780">
        <v>119.1</v>
      </c>
      <c r="O780">
        <v>4.7619047620000003</v>
      </c>
      <c r="P780">
        <v>5.9550000000000001</v>
      </c>
      <c r="Q780">
        <v>5.4</v>
      </c>
      <c r="R780" s="3">
        <f t="shared" si="37"/>
        <v>43493.808333333334</v>
      </c>
      <c r="S780">
        <f t="shared" si="36"/>
        <v>156.99999999837019</v>
      </c>
      <c r="T780">
        <f t="shared" si="38"/>
        <v>157</v>
      </c>
    </row>
    <row r="781" spans="1:20">
      <c r="A781" t="s">
        <v>225</v>
      </c>
      <c r="B781" t="s">
        <v>25</v>
      </c>
      <c r="C781" t="s">
        <v>26</v>
      </c>
      <c r="D781" t="s">
        <v>27</v>
      </c>
      <c r="E781" t="s">
        <v>21</v>
      </c>
      <c r="F781" t="s">
        <v>31</v>
      </c>
      <c r="G781">
        <v>69.81</v>
      </c>
      <c r="H781">
        <v>4</v>
      </c>
      <c r="I781">
        <v>13.962</v>
      </c>
      <c r="J781">
        <v>293.202</v>
      </c>
      <c r="K781" s="1">
        <v>43493</v>
      </c>
      <c r="L781" s="2">
        <v>0.86805555555555558</v>
      </c>
      <c r="M781" t="s">
        <v>32</v>
      </c>
      <c r="N781">
        <v>279.24</v>
      </c>
      <c r="O781">
        <v>4.7619047620000003</v>
      </c>
      <c r="P781">
        <v>13.962</v>
      </c>
      <c r="Q781">
        <v>5.9</v>
      </c>
      <c r="R781" s="3">
        <f t="shared" si="37"/>
        <v>43493.868055555555</v>
      </c>
      <c r="S781">
        <f t="shared" si="36"/>
        <v>85.999999997438863</v>
      </c>
      <c r="T781">
        <f t="shared" si="38"/>
        <v>86</v>
      </c>
    </row>
    <row r="782" spans="1:20" hidden="1">
      <c r="A782" t="s">
        <v>236</v>
      </c>
      <c r="B782" t="s">
        <v>25</v>
      </c>
      <c r="C782" t="s">
        <v>26</v>
      </c>
      <c r="D782" t="s">
        <v>20</v>
      </c>
      <c r="E782" t="s">
        <v>21</v>
      </c>
      <c r="F782" t="s">
        <v>35</v>
      </c>
      <c r="G782">
        <v>19.149999999999999</v>
      </c>
      <c r="H782">
        <v>6</v>
      </c>
      <c r="I782">
        <v>5.7450000000000001</v>
      </c>
      <c r="J782">
        <v>120.645</v>
      </c>
      <c r="K782" s="1">
        <v>43494</v>
      </c>
      <c r="L782" s="2">
        <v>0.41736111111111113</v>
      </c>
      <c r="M782" t="s">
        <v>32</v>
      </c>
      <c r="N782">
        <v>114.9</v>
      </c>
      <c r="O782">
        <v>4.7619047620000003</v>
      </c>
      <c r="P782">
        <v>5.7450000000000001</v>
      </c>
      <c r="Q782">
        <v>6.8</v>
      </c>
      <c r="R782" s="3">
        <f t="shared" si="37"/>
        <v>43494.417361111111</v>
      </c>
      <c r="S782" t="str">
        <f t="shared" si="36"/>
        <v/>
      </c>
      <c r="T782" t="str">
        <f t="shared" si="38"/>
        <v/>
      </c>
    </row>
    <row r="783" spans="1:20">
      <c r="A783" t="s">
        <v>409</v>
      </c>
      <c r="B783" t="s">
        <v>25</v>
      </c>
      <c r="C783" t="s">
        <v>26</v>
      </c>
      <c r="D783" t="s">
        <v>27</v>
      </c>
      <c r="E783" t="s">
        <v>177</v>
      </c>
      <c r="F783" t="s">
        <v>45</v>
      </c>
      <c r="G783">
        <v>42.08</v>
      </c>
      <c r="H783">
        <v>6</v>
      </c>
      <c r="I783">
        <v>12.624000000000001</v>
      </c>
      <c r="J783">
        <v>265.10399999999998</v>
      </c>
      <c r="K783" s="1">
        <v>43494</v>
      </c>
      <c r="L783" s="2">
        <v>0.51736111111111116</v>
      </c>
      <c r="M783" t="s">
        <v>29</v>
      </c>
      <c r="N783">
        <v>252.48</v>
      </c>
      <c r="O783">
        <v>4.7619047620000003</v>
      </c>
      <c r="P783">
        <v>12.624000000000001</v>
      </c>
      <c r="Q783">
        <v>8.9</v>
      </c>
      <c r="R783" s="3">
        <f t="shared" si="37"/>
        <v>43494.517361111109</v>
      </c>
      <c r="S783">
        <f t="shared" si="36"/>
        <v>143.99999999790452</v>
      </c>
      <c r="T783">
        <f t="shared" si="38"/>
        <v>144</v>
      </c>
    </row>
    <row r="784" spans="1:20">
      <c r="A784" t="s">
        <v>1031</v>
      </c>
      <c r="B784" t="s">
        <v>25</v>
      </c>
      <c r="C784" t="s">
        <v>26</v>
      </c>
      <c r="D784" t="s">
        <v>27</v>
      </c>
      <c r="E784" t="s">
        <v>177</v>
      </c>
      <c r="F784" t="s">
        <v>22</v>
      </c>
      <c r="G784">
        <v>40.35</v>
      </c>
      <c r="H784">
        <v>1</v>
      </c>
      <c r="I784">
        <v>2.0175000000000001</v>
      </c>
      <c r="J784">
        <v>42.3675</v>
      </c>
      <c r="K784" s="1">
        <v>43494</v>
      </c>
      <c r="L784" s="2">
        <v>0.57361111111111107</v>
      </c>
      <c r="M784" t="s">
        <v>23</v>
      </c>
      <c r="N784">
        <v>40.35</v>
      </c>
      <c r="O784">
        <v>4.7619047620000003</v>
      </c>
      <c r="P784">
        <v>2.0175000000000001</v>
      </c>
      <c r="Q784">
        <v>6.2</v>
      </c>
      <c r="R784" s="3">
        <f t="shared" si="37"/>
        <v>43494.573611111111</v>
      </c>
      <c r="S784">
        <f t="shared" si="36"/>
        <v>81.000000002095476</v>
      </c>
      <c r="T784">
        <f t="shared" si="38"/>
        <v>81</v>
      </c>
    </row>
    <row r="785" spans="1:20">
      <c r="A785" t="s">
        <v>773</v>
      </c>
      <c r="B785" t="s">
        <v>25</v>
      </c>
      <c r="C785" t="s">
        <v>26</v>
      </c>
      <c r="D785" t="s">
        <v>27</v>
      </c>
      <c r="E785" t="s">
        <v>177</v>
      </c>
      <c r="F785" t="s">
        <v>28</v>
      </c>
      <c r="G785">
        <v>58.76</v>
      </c>
      <c r="H785">
        <v>10</v>
      </c>
      <c r="I785">
        <v>29.38</v>
      </c>
      <c r="J785">
        <v>616.98</v>
      </c>
      <c r="K785" s="1">
        <v>43494</v>
      </c>
      <c r="L785" s="2">
        <v>0.60138888888888886</v>
      </c>
      <c r="M785" t="s">
        <v>23</v>
      </c>
      <c r="N785">
        <v>587.6</v>
      </c>
      <c r="O785">
        <v>4.7619047620000003</v>
      </c>
      <c r="P785">
        <v>29.38</v>
      </c>
      <c r="Q785">
        <v>9</v>
      </c>
      <c r="R785" s="3">
        <f t="shared" si="37"/>
        <v>43494.601388888892</v>
      </c>
      <c r="S785">
        <f t="shared" ref="S785:S848" si="39">IF(K785=K784, (R785-R784)*1440, "")</f>
        <v>40.000000004656613</v>
      </c>
      <c r="T785">
        <f t="shared" si="38"/>
        <v>40</v>
      </c>
    </row>
    <row r="786" spans="1:20" hidden="1">
      <c r="A786" t="s">
        <v>783</v>
      </c>
      <c r="B786" t="s">
        <v>25</v>
      </c>
      <c r="C786" t="s">
        <v>26</v>
      </c>
      <c r="D786" t="s">
        <v>20</v>
      </c>
      <c r="E786" t="s">
        <v>21</v>
      </c>
      <c r="F786" t="s">
        <v>31</v>
      </c>
      <c r="G786">
        <v>10.53</v>
      </c>
      <c r="H786">
        <v>5</v>
      </c>
      <c r="I786">
        <v>2.6324999999999998</v>
      </c>
      <c r="J786">
        <v>55.282499999999999</v>
      </c>
      <c r="K786" s="1">
        <v>43495</v>
      </c>
      <c r="L786" s="2">
        <v>0.61319444444444449</v>
      </c>
      <c r="M786" t="s">
        <v>32</v>
      </c>
      <c r="N786">
        <v>52.65</v>
      </c>
      <c r="O786">
        <v>4.7619047620000003</v>
      </c>
      <c r="P786">
        <v>2.6324999999999998</v>
      </c>
      <c r="Q786">
        <v>5.8</v>
      </c>
      <c r="R786" s="3">
        <f t="shared" si="37"/>
        <v>43495.613194444442</v>
      </c>
      <c r="S786" t="str">
        <f t="shared" si="39"/>
        <v/>
      </c>
      <c r="T786" t="str">
        <f t="shared" si="38"/>
        <v/>
      </c>
    </row>
    <row r="787" spans="1:20">
      <c r="A787" t="s">
        <v>379</v>
      </c>
      <c r="B787" t="s">
        <v>25</v>
      </c>
      <c r="C787" t="s">
        <v>26</v>
      </c>
      <c r="D787" t="s">
        <v>27</v>
      </c>
      <c r="E787" t="s">
        <v>21</v>
      </c>
      <c r="F787" t="s">
        <v>43</v>
      </c>
      <c r="G787">
        <v>97.03</v>
      </c>
      <c r="H787">
        <v>5</v>
      </c>
      <c r="I787">
        <v>24.2575</v>
      </c>
      <c r="J787">
        <v>509.40750000000003</v>
      </c>
      <c r="K787" s="1">
        <v>43495</v>
      </c>
      <c r="L787" s="2">
        <v>0.68333333333333335</v>
      </c>
      <c r="M787" t="s">
        <v>23</v>
      </c>
      <c r="N787">
        <v>485.15</v>
      </c>
      <c r="O787">
        <v>4.7619047620000003</v>
      </c>
      <c r="P787">
        <v>24.2575</v>
      </c>
      <c r="Q787">
        <v>9.3000000000000007</v>
      </c>
      <c r="R787" s="3">
        <f t="shared" si="37"/>
        <v>43495.683333333334</v>
      </c>
      <c r="S787">
        <f t="shared" si="39"/>
        <v>101.00000000442378</v>
      </c>
      <c r="T787">
        <f t="shared" si="38"/>
        <v>101</v>
      </c>
    </row>
    <row r="788" spans="1:20">
      <c r="A788" t="s">
        <v>883</v>
      </c>
      <c r="B788" t="s">
        <v>25</v>
      </c>
      <c r="C788" t="s">
        <v>26</v>
      </c>
      <c r="D788" t="s">
        <v>27</v>
      </c>
      <c r="E788" t="s">
        <v>21</v>
      </c>
      <c r="F788" t="s">
        <v>35</v>
      </c>
      <c r="G788">
        <v>22.38</v>
      </c>
      <c r="H788">
        <v>1</v>
      </c>
      <c r="I788">
        <v>1.119</v>
      </c>
      <c r="J788">
        <v>23.498999999999999</v>
      </c>
      <c r="K788" s="1">
        <v>43495</v>
      </c>
      <c r="L788" s="2">
        <v>0.71388888888888891</v>
      </c>
      <c r="M788" t="s">
        <v>32</v>
      </c>
      <c r="N788">
        <v>22.38</v>
      </c>
      <c r="O788">
        <v>4.7619047620000003</v>
      </c>
      <c r="P788">
        <v>1.119</v>
      </c>
      <c r="Q788">
        <v>8.6</v>
      </c>
      <c r="R788" s="3">
        <f t="shared" si="37"/>
        <v>43495.713888888888</v>
      </c>
      <c r="S788">
        <f t="shared" si="39"/>
        <v>43.999999996740371</v>
      </c>
      <c r="T788">
        <f t="shared" si="38"/>
        <v>44</v>
      </c>
    </row>
    <row r="789" spans="1:20">
      <c r="A789" t="s">
        <v>199</v>
      </c>
      <c r="B789" t="s">
        <v>25</v>
      </c>
      <c r="C789" t="s">
        <v>26</v>
      </c>
      <c r="D789" t="s">
        <v>27</v>
      </c>
      <c r="E789" t="s">
        <v>177</v>
      </c>
      <c r="F789" t="s">
        <v>35</v>
      </c>
      <c r="G789">
        <v>76.400000000000006</v>
      </c>
      <c r="H789">
        <v>2</v>
      </c>
      <c r="I789">
        <v>7.64</v>
      </c>
      <c r="J789">
        <v>160.44</v>
      </c>
      <c r="K789" s="1">
        <v>43495</v>
      </c>
      <c r="L789" s="2">
        <v>0.8208333333333333</v>
      </c>
      <c r="M789" t="s">
        <v>23</v>
      </c>
      <c r="N789">
        <v>152.80000000000001</v>
      </c>
      <c r="O789">
        <v>4.7619047620000003</v>
      </c>
      <c r="P789">
        <v>7.64</v>
      </c>
      <c r="Q789">
        <v>6.5</v>
      </c>
      <c r="R789" s="3">
        <f t="shared" si="37"/>
        <v>43495.820833333331</v>
      </c>
      <c r="S789">
        <f t="shared" si="39"/>
        <v>153.99999999906868</v>
      </c>
      <c r="T789">
        <f t="shared" si="38"/>
        <v>154</v>
      </c>
    </row>
    <row r="790" spans="1:20">
      <c r="A790" t="s">
        <v>593</v>
      </c>
      <c r="B790" t="s">
        <v>25</v>
      </c>
      <c r="C790" t="s">
        <v>26</v>
      </c>
      <c r="D790" t="s">
        <v>20</v>
      </c>
      <c r="E790" t="s">
        <v>21</v>
      </c>
      <c r="F790" t="s">
        <v>43</v>
      </c>
      <c r="G790">
        <v>98.52</v>
      </c>
      <c r="H790">
        <v>10</v>
      </c>
      <c r="I790">
        <v>49.26</v>
      </c>
      <c r="J790">
        <v>1034.46</v>
      </c>
      <c r="K790" s="1">
        <v>43495</v>
      </c>
      <c r="L790" s="2">
        <v>0.84930555555555554</v>
      </c>
      <c r="M790" t="s">
        <v>23</v>
      </c>
      <c r="N790">
        <v>985.2</v>
      </c>
      <c r="O790">
        <v>4.7619047620000003</v>
      </c>
      <c r="P790">
        <v>49.26</v>
      </c>
      <c r="Q790">
        <v>4.5</v>
      </c>
      <c r="R790" s="3">
        <f t="shared" si="37"/>
        <v>43495.849305555559</v>
      </c>
      <c r="S790">
        <f t="shared" si="39"/>
        <v>41.000000007916242</v>
      </c>
      <c r="T790">
        <f t="shared" si="38"/>
        <v>41</v>
      </c>
    </row>
    <row r="791" spans="1:20">
      <c r="A791" t="s">
        <v>524</v>
      </c>
      <c r="B791" t="s">
        <v>25</v>
      </c>
      <c r="C791" t="s">
        <v>26</v>
      </c>
      <c r="D791" t="s">
        <v>27</v>
      </c>
      <c r="E791" t="s">
        <v>177</v>
      </c>
      <c r="F791" t="s">
        <v>31</v>
      </c>
      <c r="G791">
        <v>22.96</v>
      </c>
      <c r="H791">
        <v>1</v>
      </c>
      <c r="I791">
        <v>1.1479999999999999</v>
      </c>
      <c r="J791">
        <v>24.108000000000001</v>
      </c>
      <c r="K791" s="1">
        <v>43495</v>
      </c>
      <c r="L791" s="2">
        <v>0.86597222222222225</v>
      </c>
      <c r="M791" t="s">
        <v>29</v>
      </c>
      <c r="N791">
        <v>22.96</v>
      </c>
      <c r="O791">
        <v>4.7619047620000003</v>
      </c>
      <c r="P791">
        <v>1.1479999999999999</v>
      </c>
      <c r="Q791">
        <v>4.3</v>
      </c>
      <c r="R791" s="3">
        <f t="shared" si="37"/>
        <v>43495.865972222222</v>
      </c>
      <c r="S791">
        <f t="shared" si="39"/>
        <v>23.999999994412065</v>
      </c>
      <c r="T791">
        <f t="shared" si="38"/>
        <v>24</v>
      </c>
    </row>
    <row r="792" spans="1:20" hidden="1">
      <c r="A792" t="s">
        <v>845</v>
      </c>
      <c r="B792" t="s">
        <v>25</v>
      </c>
      <c r="C792" t="s">
        <v>26</v>
      </c>
      <c r="D792" t="s">
        <v>27</v>
      </c>
      <c r="E792" t="s">
        <v>21</v>
      </c>
      <c r="F792" t="s">
        <v>45</v>
      </c>
      <c r="G792">
        <v>62.18</v>
      </c>
      <c r="H792">
        <v>10</v>
      </c>
      <c r="I792">
        <v>31.09</v>
      </c>
      <c r="J792">
        <v>652.89</v>
      </c>
      <c r="K792" s="1">
        <v>43496</v>
      </c>
      <c r="L792" s="2">
        <v>0.43958333333333333</v>
      </c>
      <c r="M792" t="s">
        <v>23</v>
      </c>
      <c r="N792">
        <v>621.79999999999995</v>
      </c>
      <c r="O792">
        <v>4.7619047620000003</v>
      </c>
      <c r="P792">
        <v>31.09</v>
      </c>
      <c r="Q792">
        <v>6</v>
      </c>
      <c r="R792" s="3">
        <f t="shared" si="37"/>
        <v>43496.439583333333</v>
      </c>
      <c r="S792" t="str">
        <f t="shared" si="39"/>
        <v/>
      </c>
      <c r="T792" t="str">
        <f t="shared" si="38"/>
        <v/>
      </c>
    </row>
    <row r="793" spans="1:20">
      <c r="A793" t="s">
        <v>750</v>
      </c>
      <c r="B793" t="s">
        <v>25</v>
      </c>
      <c r="C793" t="s">
        <v>26</v>
      </c>
      <c r="D793" t="s">
        <v>20</v>
      </c>
      <c r="E793" t="s">
        <v>177</v>
      </c>
      <c r="F793" t="s">
        <v>45</v>
      </c>
      <c r="G793">
        <v>98.7</v>
      </c>
      <c r="H793">
        <v>8</v>
      </c>
      <c r="I793">
        <v>39.479999999999997</v>
      </c>
      <c r="J793">
        <v>829.08</v>
      </c>
      <c r="K793" s="1">
        <v>43496</v>
      </c>
      <c r="L793" s="2">
        <v>0.44166666666666665</v>
      </c>
      <c r="M793" t="s">
        <v>23</v>
      </c>
      <c r="N793">
        <v>789.6</v>
      </c>
      <c r="O793">
        <v>4.7619047620000003</v>
      </c>
      <c r="P793">
        <v>39.479999999999997</v>
      </c>
      <c r="Q793">
        <v>8.5</v>
      </c>
      <c r="R793" s="3">
        <f t="shared" si="37"/>
        <v>43496.441666666666</v>
      </c>
      <c r="S793">
        <f t="shared" si="39"/>
        <v>2.9999999993015081</v>
      </c>
      <c r="T793">
        <f t="shared" si="38"/>
        <v>3</v>
      </c>
    </row>
    <row r="794" spans="1:20">
      <c r="A794" t="s">
        <v>323</v>
      </c>
      <c r="B794" t="s">
        <v>25</v>
      </c>
      <c r="C794" t="s">
        <v>26</v>
      </c>
      <c r="D794" t="s">
        <v>27</v>
      </c>
      <c r="E794" t="s">
        <v>21</v>
      </c>
      <c r="F794" t="s">
        <v>35</v>
      </c>
      <c r="G794">
        <v>23.75</v>
      </c>
      <c r="H794">
        <v>9</v>
      </c>
      <c r="I794">
        <v>10.6875</v>
      </c>
      <c r="J794">
        <v>224.4375</v>
      </c>
      <c r="K794" s="1">
        <v>43496</v>
      </c>
      <c r="L794" s="2">
        <v>0.50138888888888888</v>
      </c>
      <c r="M794" t="s">
        <v>29</v>
      </c>
      <c r="N794">
        <v>213.75</v>
      </c>
      <c r="O794">
        <v>4.7619047620000003</v>
      </c>
      <c r="P794">
        <v>10.6875</v>
      </c>
      <c r="Q794">
        <v>9.5</v>
      </c>
      <c r="R794" s="3">
        <f t="shared" si="37"/>
        <v>43496.501388888886</v>
      </c>
      <c r="S794">
        <f t="shared" si="39"/>
        <v>85.999999997438863</v>
      </c>
      <c r="T794">
        <f t="shared" si="38"/>
        <v>86</v>
      </c>
    </row>
    <row r="795" spans="1:20">
      <c r="A795" t="s">
        <v>263</v>
      </c>
      <c r="B795" t="s">
        <v>25</v>
      </c>
      <c r="C795" t="s">
        <v>26</v>
      </c>
      <c r="D795" t="s">
        <v>20</v>
      </c>
      <c r="E795" t="s">
        <v>177</v>
      </c>
      <c r="F795" t="s">
        <v>28</v>
      </c>
      <c r="G795">
        <v>37.06</v>
      </c>
      <c r="H795">
        <v>4</v>
      </c>
      <c r="I795">
        <v>7.4119999999999999</v>
      </c>
      <c r="J795">
        <v>155.65199999999999</v>
      </c>
      <c r="K795" s="1">
        <v>43496</v>
      </c>
      <c r="L795" s="2">
        <v>0.68333333333333335</v>
      </c>
      <c r="M795" t="s">
        <v>23</v>
      </c>
      <c r="N795">
        <v>148.24</v>
      </c>
      <c r="O795">
        <v>4.7619047620000003</v>
      </c>
      <c r="P795">
        <v>7.4119999999999999</v>
      </c>
      <c r="Q795">
        <v>9.6999999999999993</v>
      </c>
      <c r="R795" s="3">
        <f t="shared" si="37"/>
        <v>43496.683333333334</v>
      </c>
      <c r="S795">
        <f t="shared" si="39"/>
        <v>262.0000000053551</v>
      </c>
      <c r="T795">
        <f t="shared" si="38"/>
        <v>262</v>
      </c>
    </row>
    <row r="796" spans="1:20" hidden="1">
      <c r="A796" t="s">
        <v>137</v>
      </c>
      <c r="B796" t="s">
        <v>25</v>
      </c>
      <c r="C796" t="s">
        <v>26</v>
      </c>
      <c r="D796" t="s">
        <v>20</v>
      </c>
      <c r="E796" t="s">
        <v>21</v>
      </c>
      <c r="F796" t="s">
        <v>28</v>
      </c>
      <c r="G796">
        <v>23.07</v>
      </c>
      <c r="H796">
        <v>9</v>
      </c>
      <c r="I796">
        <v>10.381500000000001</v>
      </c>
      <c r="J796">
        <v>218.01150000000001</v>
      </c>
      <c r="K796" s="1">
        <v>43497</v>
      </c>
      <c r="L796" s="2">
        <v>0.47708333333333336</v>
      </c>
      <c r="M796" t="s">
        <v>29</v>
      </c>
      <c r="N796">
        <v>207.63</v>
      </c>
      <c r="O796">
        <v>4.7619047620000003</v>
      </c>
      <c r="P796">
        <v>10.381500000000001</v>
      </c>
      <c r="Q796">
        <v>4.9000000000000004</v>
      </c>
      <c r="R796" s="3">
        <f t="shared" si="37"/>
        <v>43497.477083333331</v>
      </c>
      <c r="S796" t="str">
        <f t="shared" si="39"/>
        <v/>
      </c>
      <c r="T796" t="str">
        <f t="shared" si="38"/>
        <v/>
      </c>
    </row>
    <row r="797" spans="1:20">
      <c r="A797" t="s">
        <v>575</v>
      </c>
      <c r="B797" t="s">
        <v>25</v>
      </c>
      <c r="C797" t="s">
        <v>26</v>
      </c>
      <c r="D797" t="s">
        <v>20</v>
      </c>
      <c r="E797" t="s">
        <v>21</v>
      </c>
      <c r="F797" t="s">
        <v>43</v>
      </c>
      <c r="G797">
        <v>87.48</v>
      </c>
      <c r="H797">
        <v>6</v>
      </c>
      <c r="I797">
        <v>26.244</v>
      </c>
      <c r="J797">
        <v>551.12400000000002</v>
      </c>
      <c r="K797" s="1">
        <v>43497</v>
      </c>
      <c r="L797" s="2">
        <v>0.77986111111111112</v>
      </c>
      <c r="M797" t="s">
        <v>23</v>
      </c>
      <c r="N797">
        <v>524.88</v>
      </c>
      <c r="O797">
        <v>4.7619047620000003</v>
      </c>
      <c r="P797">
        <v>26.244</v>
      </c>
      <c r="Q797">
        <v>5.0999999999999996</v>
      </c>
      <c r="R797" s="3">
        <f t="shared" si="37"/>
        <v>43497.779861111114</v>
      </c>
      <c r="S797">
        <f t="shared" si="39"/>
        <v>436.00000000675209</v>
      </c>
      <c r="T797">
        <f t="shared" si="38"/>
        <v>436</v>
      </c>
    </row>
    <row r="798" spans="1:20">
      <c r="A798" t="s">
        <v>149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80.790000000000006</v>
      </c>
      <c r="H798">
        <v>9</v>
      </c>
      <c r="I798">
        <v>36.355499999999999</v>
      </c>
      <c r="J798">
        <v>763.46550000000002</v>
      </c>
      <c r="K798" s="1">
        <v>43497</v>
      </c>
      <c r="L798" s="2">
        <v>0.85486111111111107</v>
      </c>
      <c r="M798" t="s">
        <v>32</v>
      </c>
      <c r="N798">
        <v>727.11</v>
      </c>
      <c r="O798">
        <v>4.7619047620000003</v>
      </c>
      <c r="P798">
        <v>36.355499999999999</v>
      </c>
      <c r="Q798">
        <v>9.5</v>
      </c>
      <c r="R798" s="3">
        <f t="shared" si="37"/>
        <v>43497.854861111111</v>
      </c>
      <c r="S798">
        <f t="shared" si="39"/>
        <v>107.99999999580905</v>
      </c>
      <c r="T798">
        <f t="shared" si="38"/>
        <v>108</v>
      </c>
    </row>
    <row r="799" spans="1:20" hidden="1">
      <c r="A799" t="s">
        <v>76</v>
      </c>
      <c r="B799" t="s">
        <v>25</v>
      </c>
      <c r="C799" t="s">
        <v>26</v>
      </c>
      <c r="D799" t="s">
        <v>20</v>
      </c>
      <c r="E799" t="s">
        <v>21</v>
      </c>
      <c r="F799" t="s">
        <v>31</v>
      </c>
      <c r="G799">
        <v>56.11</v>
      </c>
      <c r="H799">
        <v>2</v>
      </c>
      <c r="I799">
        <v>5.6109999999999998</v>
      </c>
      <c r="J799">
        <v>117.831</v>
      </c>
      <c r="K799" s="1">
        <v>43498</v>
      </c>
      <c r="L799" s="2">
        <v>0.42430555555555555</v>
      </c>
      <c r="M799" t="s">
        <v>29</v>
      </c>
      <c r="N799">
        <v>112.22</v>
      </c>
      <c r="O799">
        <v>4.7619047620000003</v>
      </c>
      <c r="P799">
        <v>5.6109999999999998</v>
      </c>
      <c r="Q799">
        <v>6.3</v>
      </c>
      <c r="R799" s="3">
        <f t="shared" si="37"/>
        <v>43498.424305555556</v>
      </c>
      <c r="S799" t="str">
        <f t="shared" si="39"/>
        <v/>
      </c>
      <c r="T799" t="str">
        <f t="shared" si="38"/>
        <v/>
      </c>
    </row>
    <row r="800" spans="1:20">
      <c r="A800" t="s">
        <v>951</v>
      </c>
      <c r="B800" t="s">
        <v>25</v>
      </c>
      <c r="C800" t="s">
        <v>26</v>
      </c>
      <c r="D800" t="s">
        <v>27</v>
      </c>
      <c r="E800" t="s">
        <v>21</v>
      </c>
      <c r="F800" t="s">
        <v>28</v>
      </c>
      <c r="G800">
        <v>35.49</v>
      </c>
      <c r="H800">
        <v>6</v>
      </c>
      <c r="I800">
        <v>10.647</v>
      </c>
      <c r="J800">
        <v>223.58699999999999</v>
      </c>
      <c r="K800" s="1">
        <v>43498</v>
      </c>
      <c r="L800" s="2">
        <v>0.52777777777777779</v>
      </c>
      <c r="M800" t="s">
        <v>29</v>
      </c>
      <c r="N800">
        <v>212.94</v>
      </c>
      <c r="O800">
        <v>4.7619047620000003</v>
      </c>
      <c r="P800">
        <v>10.647</v>
      </c>
      <c r="Q800">
        <v>4.0999999999999996</v>
      </c>
      <c r="R800" s="3">
        <f t="shared" si="37"/>
        <v>43498.527777777781</v>
      </c>
      <c r="S800">
        <f t="shared" si="39"/>
        <v>149.00000000372529</v>
      </c>
      <c r="T800">
        <f t="shared" si="38"/>
        <v>149</v>
      </c>
    </row>
    <row r="801" spans="1:20">
      <c r="A801" t="s">
        <v>313</v>
      </c>
      <c r="B801" t="s">
        <v>25</v>
      </c>
      <c r="C801" t="s">
        <v>26</v>
      </c>
      <c r="D801" t="s">
        <v>27</v>
      </c>
      <c r="E801" t="s">
        <v>21</v>
      </c>
      <c r="F801" t="s">
        <v>45</v>
      </c>
      <c r="G801">
        <v>95.42</v>
      </c>
      <c r="H801">
        <v>4</v>
      </c>
      <c r="I801">
        <v>19.084</v>
      </c>
      <c r="J801">
        <v>400.76400000000001</v>
      </c>
      <c r="K801" s="1">
        <v>43498</v>
      </c>
      <c r="L801" s="2">
        <v>0.55763888888888891</v>
      </c>
      <c r="M801" t="s">
        <v>23</v>
      </c>
      <c r="N801">
        <v>381.68</v>
      </c>
      <c r="O801">
        <v>4.7619047620000003</v>
      </c>
      <c r="P801">
        <v>19.084</v>
      </c>
      <c r="Q801">
        <v>6.4</v>
      </c>
      <c r="R801" s="3">
        <f t="shared" si="37"/>
        <v>43498.557638888888</v>
      </c>
      <c r="S801">
        <f t="shared" si="39"/>
        <v>42.999999993480742</v>
      </c>
      <c r="T801">
        <f t="shared" si="38"/>
        <v>43</v>
      </c>
    </row>
    <row r="802" spans="1:20">
      <c r="A802" t="s">
        <v>967</v>
      </c>
      <c r="B802" t="s">
        <v>25</v>
      </c>
      <c r="C802" t="s">
        <v>26</v>
      </c>
      <c r="D802" t="s">
        <v>20</v>
      </c>
      <c r="E802" t="s">
        <v>21</v>
      </c>
      <c r="F802" t="s">
        <v>45</v>
      </c>
      <c r="G802">
        <v>83.35</v>
      </c>
      <c r="H802">
        <v>2</v>
      </c>
      <c r="I802">
        <v>8.3350000000000009</v>
      </c>
      <c r="J802">
        <v>175.035</v>
      </c>
      <c r="K802" s="1">
        <v>43498</v>
      </c>
      <c r="L802" s="2">
        <v>0.58680555555555558</v>
      </c>
      <c r="M802" t="s">
        <v>32</v>
      </c>
      <c r="N802">
        <v>166.7</v>
      </c>
      <c r="O802">
        <v>4.7619047620000003</v>
      </c>
      <c r="P802">
        <v>8.3350000000000009</v>
      </c>
      <c r="Q802">
        <v>9.5</v>
      </c>
      <c r="R802" s="3">
        <f t="shared" si="37"/>
        <v>43498.586805555555</v>
      </c>
      <c r="S802">
        <f t="shared" si="39"/>
        <v>42.000000000698492</v>
      </c>
      <c r="T802">
        <f t="shared" si="38"/>
        <v>42</v>
      </c>
    </row>
    <row r="803" spans="1:20">
      <c r="A803" t="s">
        <v>781</v>
      </c>
      <c r="B803" t="s">
        <v>25</v>
      </c>
      <c r="C803" t="s">
        <v>26</v>
      </c>
      <c r="D803" t="s">
        <v>20</v>
      </c>
      <c r="E803" t="s">
        <v>21</v>
      </c>
      <c r="F803" t="s">
        <v>43</v>
      </c>
      <c r="G803">
        <v>38.42</v>
      </c>
      <c r="H803">
        <v>1</v>
      </c>
      <c r="I803">
        <v>1.921</v>
      </c>
      <c r="J803">
        <v>40.341000000000001</v>
      </c>
      <c r="K803" s="1">
        <v>43498</v>
      </c>
      <c r="L803" s="2">
        <v>0.68958333333333333</v>
      </c>
      <c r="M803" t="s">
        <v>29</v>
      </c>
      <c r="N803">
        <v>38.42</v>
      </c>
      <c r="O803">
        <v>4.7619047620000003</v>
      </c>
      <c r="P803">
        <v>1.921</v>
      </c>
      <c r="Q803">
        <v>8.6</v>
      </c>
      <c r="R803" s="3">
        <f t="shared" si="37"/>
        <v>43498.689583333333</v>
      </c>
      <c r="S803">
        <f t="shared" si="39"/>
        <v>148.00000000046566</v>
      </c>
      <c r="T803">
        <f t="shared" si="38"/>
        <v>148</v>
      </c>
    </row>
    <row r="804" spans="1:20">
      <c r="A804" t="s">
        <v>516</v>
      </c>
      <c r="B804" t="s">
        <v>25</v>
      </c>
      <c r="C804" t="s">
        <v>26</v>
      </c>
      <c r="D804" t="s">
        <v>27</v>
      </c>
      <c r="E804" t="s">
        <v>177</v>
      </c>
      <c r="F804" t="s">
        <v>43</v>
      </c>
      <c r="G804">
        <v>65.97</v>
      </c>
      <c r="H804">
        <v>8</v>
      </c>
      <c r="I804">
        <v>26.388000000000002</v>
      </c>
      <c r="J804">
        <v>554.14800000000002</v>
      </c>
      <c r="K804" s="1">
        <v>43498</v>
      </c>
      <c r="L804" s="2">
        <v>0.85347222222222219</v>
      </c>
      <c r="M804" t="s">
        <v>29</v>
      </c>
      <c r="N804">
        <v>527.76</v>
      </c>
      <c r="O804">
        <v>4.7619047620000003</v>
      </c>
      <c r="P804">
        <v>26.388000000000002</v>
      </c>
      <c r="Q804">
        <v>8.4</v>
      </c>
      <c r="R804" s="3">
        <f t="shared" si="37"/>
        <v>43498.853472222225</v>
      </c>
      <c r="S804">
        <f t="shared" si="39"/>
        <v>236.00000000442378</v>
      </c>
      <c r="T804">
        <f t="shared" si="38"/>
        <v>236</v>
      </c>
    </row>
    <row r="805" spans="1:20" hidden="1">
      <c r="A805" t="s">
        <v>498</v>
      </c>
      <c r="B805" t="s">
        <v>25</v>
      </c>
      <c r="C805" t="s">
        <v>26</v>
      </c>
      <c r="D805" t="s">
        <v>27</v>
      </c>
      <c r="E805" t="s">
        <v>21</v>
      </c>
      <c r="F805" t="s">
        <v>35</v>
      </c>
      <c r="G805">
        <v>73.95</v>
      </c>
      <c r="H805">
        <v>4</v>
      </c>
      <c r="I805">
        <v>14.79</v>
      </c>
      <c r="J805">
        <v>310.58999999999997</v>
      </c>
      <c r="K805" s="1">
        <v>43499</v>
      </c>
      <c r="L805" s="2">
        <v>0.41805555555555557</v>
      </c>
      <c r="M805" t="s">
        <v>29</v>
      </c>
      <c r="N805">
        <v>295.8</v>
      </c>
      <c r="O805">
        <v>4.7619047620000003</v>
      </c>
      <c r="P805">
        <v>14.79</v>
      </c>
      <c r="Q805">
        <v>6.1</v>
      </c>
      <c r="R805" s="3">
        <f t="shared" si="37"/>
        <v>43499.418055555558</v>
      </c>
      <c r="S805" t="str">
        <f t="shared" si="39"/>
        <v/>
      </c>
      <c r="T805" t="str">
        <f t="shared" si="38"/>
        <v/>
      </c>
    </row>
    <row r="806" spans="1:20">
      <c r="A806" t="s">
        <v>85</v>
      </c>
      <c r="B806" t="s">
        <v>25</v>
      </c>
      <c r="C806" t="s">
        <v>26</v>
      </c>
      <c r="D806" t="s">
        <v>20</v>
      </c>
      <c r="E806" t="s">
        <v>21</v>
      </c>
      <c r="F806" t="s">
        <v>43</v>
      </c>
      <c r="G806">
        <v>91.4</v>
      </c>
      <c r="H806">
        <v>7</v>
      </c>
      <c r="I806">
        <v>31.99</v>
      </c>
      <c r="J806">
        <v>671.79</v>
      </c>
      <c r="K806" s="1">
        <v>43499</v>
      </c>
      <c r="L806" s="2">
        <v>0.42986111111111114</v>
      </c>
      <c r="M806" t="s">
        <v>29</v>
      </c>
      <c r="N806">
        <v>639.79999999999995</v>
      </c>
      <c r="O806">
        <v>4.7619047620000003</v>
      </c>
      <c r="P806">
        <v>31.99</v>
      </c>
      <c r="Q806">
        <v>9.5</v>
      </c>
      <c r="R806" s="3">
        <f t="shared" si="37"/>
        <v>43499.429861111108</v>
      </c>
      <c r="S806">
        <f t="shared" si="39"/>
        <v>16.999999992549419</v>
      </c>
      <c r="T806">
        <f t="shared" si="38"/>
        <v>17</v>
      </c>
    </row>
    <row r="807" spans="1:20">
      <c r="A807" t="s">
        <v>496</v>
      </c>
      <c r="B807" t="s">
        <v>25</v>
      </c>
      <c r="C807" t="s">
        <v>26</v>
      </c>
      <c r="D807" t="s">
        <v>27</v>
      </c>
      <c r="E807" t="s">
        <v>177</v>
      </c>
      <c r="F807" t="s">
        <v>43</v>
      </c>
      <c r="G807">
        <v>40.520000000000003</v>
      </c>
      <c r="H807">
        <v>5</v>
      </c>
      <c r="I807">
        <v>10.130000000000001</v>
      </c>
      <c r="J807">
        <v>212.73</v>
      </c>
      <c r="K807" s="1">
        <v>43499</v>
      </c>
      <c r="L807" s="2">
        <v>0.6381944444444444</v>
      </c>
      <c r="M807" t="s">
        <v>29</v>
      </c>
      <c r="N807">
        <v>202.6</v>
      </c>
      <c r="O807">
        <v>4.7619047620000003</v>
      </c>
      <c r="P807">
        <v>10.130000000000001</v>
      </c>
      <c r="Q807">
        <v>4.5</v>
      </c>
      <c r="R807" s="3">
        <f t="shared" si="37"/>
        <v>43499.638194444444</v>
      </c>
      <c r="S807">
        <f t="shared" si="39"/>
        <v>300.00000000349246</v>
      </c>
      <c r="T807">
        <f t="shared" si="38"/>
        <v>300</v>
      </c>
    </row>
    <row r="808" spans="1:20">
      <c r="A808" t="s">
        <v>602</v>
      </c>
      <c r="B808" t="s">
        <v>25</v>
      </c>
      <c r="C808" t="s">
        <v>26</v>
      </c>
      <c r="D808" t="s">
        <v>27</v>
      </c>
      <c r="E808" t="s">
        <v>21</v>
      </c>
      <c r="F808" t="s">
        <v>35</v>
      </c>
      <c r="G808">
        <v>49.33</v>
      </c>
      <c r="H808">
        <v>10</v>
      </c>
      <c r="I808">
        <v>24.664999999999999</v>
      </c>
      <c r="J808">
        <v>517.96500000000003</v>
      </c>
      <c r="K808" s="1">
        <v>43499</v>
      </c>
      <c r="L808" s="2">
        <v>0.69444444444444442</v>
      </c>
      <c r="M808" t="s">
        <v>32</v>
      </c>
      <c r="N808">
        <v>493.3</v>
      </c>
      <c r="O808">
        <v>4.7619047620000003</v>
      </c>
      <c r="P808">
        <v>24.664999999999999</v>
      </c>
      <c r="Q808">
        <v>9.4</v>
      </c>
      <c r="R808" s="3">
        <f t="shared" si="37"/>
        <v>43499.694444444445</v>
      </c>
      <c r="S808">
        <f t="shared" si="39"/>
        <v>81.000000002095476</v>
      </c>
      <c r="T808">
        <f t="shared" si="38"/>
        <v>81</v>
      </c>
    </row>
    <row r="809" spans="1:20" hidden="1">
      <c r="A809" t="s">
        <v>749</v>
      </c>
      <c r="B809" t="s">
        <v>25</v>
      </c>
      <c r="C809" t="s">
        <v>26</v>
      </c>
      <c r="D809" t="s">
        <v>27</v>
      </c>
      <c r="E809" t="s">
        <v>21</v>
      </c>
      <c r="F809" t="s">
        <v>22</v>
      </c>
      <c r="G809">
        <v>13.85</v>
      </c>
      <c r="H809">
        <v>9</v>
      </c>
      <c r="I809">
        <v>6.2324999999999999</v>
      </c>
      <c r="J809">
        <v>130.88249999999999</v>
      </c>
      <c r="K809" s="1">
        <v>43500</v>
      </c>
      <c r="L809" s="2">
        <v>0.53472222222222221</v>
      </c>
      <c r="M809" t="s">
        <v>23</v>
      </c>
      <c r="N809">
        <v>124.65</v>
      </c>
      <c r="O809">
        <v>4.7619047620000003</v>
      </c>
      <c r="P809">
        <v>6.2324999999999999</v>
      </c>
      <c r="Q809">
        <v>6</v>
      </c>
      <c r="R809" s="3">
        <f t="shared" si="37"/>
        <v>43500.534722222219</v>
      </c>
      <c r="S809" t="str">
        <f t="shared" si="39"/>
        <v/>
      </c>
      <c r="T809" t="str">
        <f t="shared" si="38"/>
        <v/>
      </c>
    </row>
    <row r="810" spans="1:20">
      <c r="A810" t="s">
        <v>438</v>
      </c>
      <c r="B810" t="s">
        <v>25</v>
      </c>
      <c r="C810" t="s">
        <v>26</v>
      </c>
      <c r="D810" t="s">
        <v>20</v>
      </c>
      <c r="E810" t="s">
        <v>177</v>
      </c>
      <c r="F810" t="s">
        <v>31</v>
      </c>
      <c r="G810">
        <v>13.98</v>
      </c>
      <c r="H810">
        <v>1</v>
      </c>
      <c r="I810">
        <v>0.69899999999999995</v>
      </c>
      <c r="J810">
        <v>14.679</v>
      </c>
      <c r="K810" s="1">
        <v>43500</v>
      </c>
      <c r="L810" s="2">
        <v>0.56805555555555554</v>
      </c>
      <c r="M810" t="s">
        <v>23</v>
      </c>
      <c r="N810">
        <v>13.98</v>
      </c>
      <c r="O810">
        <v>4.7619047620000003</v>
      </c>
      <c r="P810">
        <v>0.69899999999999995</v>
      </c>
      <c r="Q810">
        <v>9.8000000000000007</v>
      </c>
      <c r="R810" s="3">
        <f t="shared" si="37"/>
        <v>43500.568055555559</v>
      </c>
      <c r="S810">
        <f t="shared" si="39"/>
        <v>48.000000009778887</v>
      </c>
      <c r="T810">
        <f t="shared" si="38"/>
        <v>48</v>
      </c>
    </row>
    <row r="811" spans="1:20" hidden="1">
      <c r="A811" t="s">
        <v>933</v>
      </c>
      <c r="B811" t="s">
        <v>25</v>
      </c>
      <c r="C811" t="s">
        <v>26</v>
      </c>
      <c r="D811" t="s">
        <v>20</v>
      </c>
      <c r="E811" t="s">
        <v>21</v>
      </c>
      <c r="F811" t="s">
        <v>43</v>
      </c>
      <c r="G811">
        <v>47.27</v>
      </c>
      <c r="H811">
        <v>6</v>
      </c>
      <c r="I811">
        <v>14.180999999999999</v>
      </c>
      <c r="J811">
        <v>297.80099999999999</v>
      </c>
      <c r="K811" s="1">
        <v>43501</v>
      </c>
      <c r="L811" s="2">
        <v>0.4284722222222222</v>
      </c>
      <c r="M811" t="s">
        <v>29</v>
      </c>
      <c r="N811">
        <v>283.62</v>
      </c>
      <c r="O811">
        <v>4.7619047620000003</v>
      </c>
      <c r="P811">
        <v>14.180999999999999</v>
      </c>
      <c r="Q811">
        <v>8.8000000000000007</v>
      </c>
      <c r="R811" s="3">
        <f t="shared" si="37"/>
        <v>43501.428472222222</v>
      </c>
      <c r="S811" t="str">
        <f t="shared" si="39"/>
        <v/>
      </c>
      <c r="T811" t="str">
        <f t="shared" si="38"/>
        <v/>
      </c>
    </row>
    <row r="812" spans="1:20">
      <c r="A812" t="s">
        <v>146</v>
      </c>
      <c r="B812" t="s">
        <v>25</v>
      </c>
      <c r="C812" t="s">
        <v>26</v>
      </c>
      <c r="D812" t="s">
        <v>20</v>
      </c>
      <c r="E812" t="s">
        <v>21</v>
      </c>
      <c r="F812" t="s">
        <v>22</v>
      </c>
      <c r="G812">
        <v>98.21</v>
      </c>
      <c r="H812">
        <v>3</v>
      </c>
      <c r="I812">
        <v>14.7315</v>
      </c>
      <c r="J812">
        <v>309.36149999999998</v>
      </c>
      <c r="K812" s="1">
        <v>43501</v>
      </c>
      <c r="L812" s="2">
        <v>0.44513888888888886</v>
      </c>
      <c r="M812" t="s">
        <v>32</v>
      </c>
      <c r="N812">
        <v>294.63</v>
      </c>
      <c r="O812">
        <v>4.7619047620000003</v>
      </c>
      <c r="P812">
        <v>14.7315</v>
      </c>
      <c r="Q812">
        <v>7.8</v>
      </c>
      <c r="R812" s="3">
        <f t="shared" si="37"/>
        <v>43501.445138888892</v>
      </c>
      <c r="S812">
        <f t="shared" si="39"/>
        <v>24.000000004889444</v>
      </c>
      <c r="T812">
        <f t="shared" si="38"/>
        <v>24</v>
      </c>
    </row>
    <row r="813" spans="1:20">
      <c r="A813" t="s">
        <v>347</v>
      </c>
      <c r="B813" t="s">
        <v>25</v>
      </c>
      <c r="C813" t="s">
        <v>26</v>
      </c>
      <c r="D813" t="s">
        <v>20</v>
      </c>
      <c r="E813" t="s">
        <v>177</v>
      </c>
      <c r="F813" t="s">
        <v>45</v>
      </c>
      <c r="G813">
        <v>69.33</v>
      </c>
      <c r="H813">
        <v>2</v>
      </c>
      <c r="I813">
        <v>6.9329999999999998</v>
      </c>
      <c r="J813">
        <v>145.59299999999999</v>
      </c>
      <c r="K813" s="1">
        <v>43501</v>
      </c>
      <c r="L813" s="2">
        <v>0.79513888888888884</v>
      </c>
      <c r="M813" t="s">
        <v>23</v>
      </c>
      <c r="N813">
        <v>138.66</v>
      </c>
      <c r="O813">
        <v>4.7619047620000003</v>
      </c>
      <c r="P813">
        <v>6.9329999999999998</v>
      </c>
      <c r="Q813">
        <v>9.6999999999999993</v>
      </c>
      <c r="R813" s="3">
        <f t="shared" si="37"/>
        <v>43501.795138888891</v>
      </c>
      <c r="S813">
        <f t="shared" si="39"/>
        <v>503.99999999790452</v>
      </c>
      <c r="T813">
        <f t="shared" si="38"/>
        <v>504</v>
      </c>
    </row>
    <row r="814" spans="1:20">
      <c r="A814" t="s">
        <v>178</v>
      </c>
      <c r="B814" t="s">
        <v>25</v>
      </c>
      <c r="C814" t="s">
        <v>26</v>
      </c>
      <c r="D814" t="s">
        <v>20</v>
      </c>
      <c r="E814" t="s">
        <v>21</v>
      </c>
      <c r="F814" t="s">
        <v>22</v>
      </c>
      <c r="G814">
        <v>68.599999999999994</v>
      </c>
      <c r="H814">
        <v>10</v>
      </c>
      <c r="I814">
        <v>34.299999999999997</v>
      </c>
      <c r="J814">
        <v>720.3</v>
      </c>
      <c r="K814" s="1">
        <v>43501</v>
      </c>
      <c r="L814" s="2">
        <v>0.83125000000000004</v>
      </c>
      <c r="M814" t="s">
        <v>29</v>
      </c>
      <c r="N814">
        <v>686</v>
      </c>
      <c r="O814">
        <v>4.7619047620000003</v>
      </c>
      <c r="P814">
        <v>34.299999999999997</v>
      </c>
      <c r="Q814">
        <v>9.1</v>
      </c>
      <c r="R814" s="3">
        <f t="shared" si="37"/>
        <v>43501.831250000003</v>
      </c>
      <c r="S814">
        <f t="shared" si="39"/>
        <v>52.000000001862645</v>
      </c>
      <c r="T814">
        <f t="shared" si="38"/>
        <v>52</v>
      </c>
    </row>
    <row r="815" spans="1:20" hidden="1">
      <c r="A815" t="s">
        <v>809</v>
      </c>
      <c r="B815" t="s">
        <v>25</v>
      </c>
      <c r="C815" t="s">
        <v>26</v>
      </c>
      <c r="D815" t="s">
        <v>27</v>
      </c>
      <c r="E815" t="s">
        <v>21</v>
      </c>
      <c r="F815" t="s">
        <v>43</v>
      </c>
      <c r="G815">
        <v>52.42</v>
      </c>
      <c r="H815">
        <v>1</v>
      </c>
      <c r="I815">
        <v>2.621</v>
      </c>
      <c r="J815">
        <v>55.040999999999997</v>
      </c>
      <c r="K815" s="1">
        <v>43502</v>
      </c>
      <c r="L815" s="2">
        <v>0.43194444444444446</v>
      </c>
      <c r="M815" t="s">
        <v>32</v>
      </c>
      <c r="N815">
        <v>52.42</v>
      </c>
      <c r="O815">
        <v>4.7619047620000003</v>
      </c>
      <c r="P815">
        <v>2.621</v>
      </c>
      <c r="Q815">
        <v>6.3</v>
      </c>
      <c r="R815" s="3">
        <f t="shared" si="37"/>
        <v>43502.431944444441</v>
      </c>
      <c r="S815" t="str">
        <f t="shared" si="39"/>
        <v/>
      </c>
      <c r="T815" t="str">
        <f t="shared" si="38"/>
        <v/>
      </c>
    </row>
    <row r="816" spans="1:20">
      <c r="A816" t="s">
        <v>69</v>
      </c>
      <c r="B816" t="s">
        <v>25</v>
      </c>
      <c r="C816" t="s">
        <v>26</v>
      </c>
      <c r="D816" t="s">
        <v>20</v>
      </c>
      <c r="E816" t="s">
        <v>21</v>
      </c>
      <c r="F816" t="s">
        <v>43</v>
      </c>
      <c r="G816">
        <v>99.42</v>
      </c>
      <c r="H816">
        <v>4</v>
      </c>
      <c r="I816">
        <v>19.884</v>
      </c>
      <c r="J816">
        <v>417.56400000000002</v>
      </c>
      <c r="K816" s="1">
        <v>43502</v>
      </c>
      <c r="L816" s="2">
        <v>0.44583333333333336</v>
      </c>
      <c r="M816" t="s">
        <v>23</v>
      </c>
      <c r="N816">
        <v>397.68</v>
      </c>
      <c r="O816">
        <v>4.7619047620000003</v>
      </c>
      <c r="P816">
        <v>19.884</v>
      </c>
      <c r="Q816">
        <v>7.5</v>
      </c>
      <c r="R816" s="3">
        <f t="shared" si="37"/>
        <v>43502.445833333331</v>
      </c>
      <c r="S816">
        <f t="shared" si="39"/>
        <v>20.000000002328306</v>
      </c>
      <c r="T816">
        <f t="shared" si="38"/>
        <v>20</v>
      </c>
    </row>
    <row r="817" spans="1:20">
      <c r="A817" t="s">
        <v>761</v>
      </c>
      <c r="B817" t="s">
        <v>25</v>
      </c>
      <c r="C817" t="s">
        <v>26</v>
      </c>
      <c r="D817" t="s">
        <v>20</v>
      </c>
      <c r="E817" t="s">
        <v>21</v>
      </c>
      <c r="F817" t="s">
        <v>22</v>
      </c>
      <c r="G817">
        <v>28.5</v>
      </c>
      <c r="H817">
        <v>8</v>
      </c>
      <c r="I817">
        <v>11.4</v>
      </c>
      <c r="J817">
        <v>239.4</v>
      </c>
      <c r="K817" s="1">
        <v>43502</v>
      </c>
      <c r="L817" s="2">
        <v>0.6</v>
      </c>
      <c r="M817" t="s">
        <v>29</v>
      </c>
      <c r="N817">
        <v>228</v>
      </c>
      <c r="O817">
        <v>4.7619047620000003</v>
      </c>
      <c r="P817">
        <v>11.4</v>
      </c>
      <c r="Q817">
        <v>6.6</v>
      </c>
      <c r="R817" s="3">
        <f t="shared" si="37"/>
        <v>43502.6</v>
      </c>
      <c r="S817">
        <f t="shared" si="39"/>
        <v>222.00000000069849</v>
      </c>
      <c r="T817">
        <f t="shared" si="38"/>
        <v>222</v>
      </c>
    </row>
    <row r="818" spans="1:20">
      <c r="A818" t="s">
        <v>414</v>
      </c>
      <c r="B818" t="s">
        <v>25</v>
      </c>
      <c r="C818" t="s">
        <v>26</v>
      </c>
      <c r="D818" t="s">
        <v>20</v>
      </c>
      <c r="E818" t="s">
        <v>177</v>
      </c>
      <c r="F818" t="s">
        <v>45</v>
      </c>
      <c r="G818">
        <v>96.98</v>
      </c>
      <c r="H818">
        <v>4</v>
      </c>
      <c r="I818">
        <v>19.396000000000001</v>
      </c>
      <c r="J818">
        <v>407.31599999999997</v>
      </c>
      <c r="K818" s="1">
        <v>43502</v>
      </c>
      <c r="L818" s="2">
        <v>0.72222222222222221</v>
      </c>
      <c r="M818" t="s">
        <v>23</v>
      </c>
      <c r="N818">
        <v>387.92</v>
      </c>
      <c r="O818">
        <v>4.7619047620000003</v>
      </c>
      <c r="P818">
        <v>19.396000000000001</v>
      </c>
      <c r="Q818">
        <v>9.4</v>
      </c>
      <c r="R818" s="3">
        <f t="shared" si="37"/>
        <v>43502.722222222219</v>
      </c>
      <c r="S818">
        <f t="shared" si="39"/>
        <v>175.99999999743886</v>
      </c>
      <c r="T818">
        <f t="shared" si="38"/>
        <v>176</v>
      </c>
    </row>
    <row r="819" spans="1:20">
      <c r="A819" t="s">
        <v>984</v>
      </c>
      <c r="B819" t="s">
        <v>25</v>
      </c>
      <c r="C819" t="s">
        <v>26</v>
      </c>
      <c r="D819" t="s">
        <v>20</v>
      </c>
      <c r="E819" t="s">
        <v>177</v>
      </c>
      <c r="F819" t="s">
        <v>31</v>
      </c>
      <c r="G819">
        <v>35.81</v>
      </c>
      <c r="H819">
        <v>5</v>
      </c>
      <c r="I819">
        <v>8.9525000000000006</v>
      </c>
      <c r="J819">
        <v>188.0025</v>
      </c>
      <c r="K819" s="1">
        <v>43502</v>
      </c>
      <c r="L819" s="2">
        <v>0.78055555555555556</v>
      </c>
      <c r="M819" t="s">
        <v>23</v>
      </c>
      <c r="N819">
        <v>179.05</v>
      </c>
      <c r="O819">
        <v>4.7619047620000003</v>
      </c>
      <c r="P819">
        <v>8.9525000000000006</v>
      </c>
      <c r="Q819">
        <v>7.9</v>
      </c>
      <c r="R819" s="3">
        <f t="shared" si="37"/>
        <v>43502.780555555553</v>
      </c>
      <c r="S819">
        <f t="shared" si="39"/>
        <v>84.000000001396984</v>
      </c>
      <c r="T819">
        <f t="shared" si="38"/>
        <v>84</v>
      </c>
    </row>
    <row r="820" spans="1:20">
      <c r="A820" t="s">
        <v>129</v>
      </c>
      <c r="B820" t="s">
        <v>25</v>
      </c>
      <c r="C820" t="s">
        <v>26</v>
      </c>
      <c r="D820" t="s">
        <v>20</v>
      </c>
      <c r="E820" t="s">
        <v>21</v>
      </c>
      <c r="F820" t="s">
        <v>22</v>
      </c>
      <c r="G820">
        <v>89.75</v>
      </c>
      <c r="H820">
        <v>1</v>
      </c>
      <c r="I820">
        <v>4.4874999999999998</v>
      </c>
      <c r="J820">
        <v>94.237499999999997</v>
      </c>
      <c r="K820" s="1">
        <v>43502</v>
      </c>
      <c r="L820" s="2">
        <v>0.83680555555555558</v>
      </c>
      <c r="M820" t="s">
        <v>32</v>
      </c>
      <c r="N820">
        <v>89.75</v>
      </c>
      <c r="O820">
        <v>4.7619047620000003</v>
      </c>
      <c r="P820">
        <v>4.4874999999999998</v>
      </c>
      <c r="Q820">
        <v>6.6</v>
      </c>
      <c r="R820" s="3">
        <f t="shared" si="37"/>
        <v>43502.836805555555</v>
      </c>
      <c r="S820">
        <f t="shared" si="39"/>
        <v>81.000000002095476</v>
      </c>
      <c r="T820">
        <f t="shared" si="38"/>
        <v>81</v>
      </c>
    </row>
    <row r="821" spans="1:20" hidden="1">
      <c r="A821" t="s">
        <v>571</v>
      </c>
      <c r="B821" t="s">
        <v>25</v>
      </c>
      <c r="C821" t="s">
        <v>26</v>
      </c>
      <c r="D821" t="s">
        <v>27</v>
      </c>
      <c r="E821" t="s">
        <v>177</v>
      </c>
      <c r="F821" t="s">
        <v>31</v>
      </c>
      <c r="G821">
        <v>16.670000000000002</v>
      </c>
      <c r="H821">
        <v>7</v>
      </c>
      <c r="I821">
        <v>5.8345000000000002</v>
      </c>
      <c r="J821">
        <v>122.5245</v>
      </c>
      <c r="K821" s="1">
        <v>43503</v>
      </c>
      <c r="L821" s="2">
        <v>0.48333333333333334</v>
      </c>
      <c r="M821" t="s">
        <v>23</v>
      </c>
      <c r="N821">
        <v>116.69</v>
      </c>
      <c r="O821">
        <v>4.7619047620000003</v>
      </c>
      <c r="P821">
        <v>5.8345000000000002</v>
      </c>
      <c r="Q821">
        <v>7.4</v>
      </c>
      <c r="R821" s="3">
        <f t="shared" si="37"/>
        <v>43503.48333333333</v>
      </c>
      <c r="S821" t="str">
        <f t="shared" si="39"/>
        <v/>
      </c>
      <c r="T821" t="str">
        <f t="shared" si="38"/>
        <v/>
      </c>
    </row>
    <row r="822" spans="1:20">
      <c r="A822" t="s">
        <v>736</v>
      </c>
      <c r="B822" t="s">
        <v>25</v>
      </c>
      <c r="C822" t="s">
        <v>26</v>
      </c>
      <c r="D822" t="s">
        <v>27</v>
      </c>
      <c r="E822" t="s">
        <v>21</v>
      </c>
      <c r="F822" t="s">
        <v>45</v>
      </c>
      <c r="G822">
        <v>60.41</v>
      </c>
      <c r="H822">
        <v>8</v>
      </c>
      <c r="I822">
        <v>24.164000000000001</v>
      </c>
      <c r="J822">
        <v>507.44400000000002</v>
      </c>
      <c r="K822" s="1">
        <v>43503</v>
      </c>
      <c r="L822" s="2">
        <v>0.51597222222222228</v>
      </c>
      <c r="M822" t="s">
        <v>23</v>
      </c>
      <c r="N822">
        <v>483.28</v>
      </c>
      <c r="O822">
        <v>4.7619047620000003</v>
      </c>
      <c r="P822">
        <v>24.164000000000001</v>
      </c>
      <c r="Q822">
        <v>9.6</v>
      </c>
      <c r="R822" s="3">
        <f t="shared" si="37"/>
        <v>43503.515972222223</v>
      </c>
      <c r="S822">
        <f t="shared" si="39"/>
        <v>47.000000006519258</v>
      </c>
      <c r="T822">
        <f t="shared" si="38"/>
        <v>47</v>
      </c>
    </row>
    <row r="823" spans="1:20">
      <c r="A823" t="s">
        <v>295</v>
      </c>
      <c r="B823" t="s">
        <v>25</v>
      </c>
      <c r="C823" t="s">
        <v>26</v>
      </c>
      <c r="D823" t="s">
        <v>20</v>
      </c>
      <c r="E823" t="s">
        <v>177</v>
      </c>
      <c r="F823" t="s">
        <v>28</v>
      </c>
      <c r="G823">
        <v>65.94</v>
      </c>
      <c r="H823">
        <v>4</v>
      </c>
      <c r="I823">
        <v>13.188000000000001</v>
      </c>
      <c r="J823">
        <v>276.94799999999998</v>
      </c>
      <c r="K823" s="1">
        <v>43503</v>
      </c>
      <c r="L823" s="2">
        <v>0.54513888888888884</v>
      </c>
      <c r="M823" t="s">
        <v>32</v>
      </c>
      <c r="N823">
        <v>263.76</v>
      </c>
      <c r="O823">
        <v>4.7619047620000003</v>
      </c>
      <c r="P823">
        <v>13.188000000000001</v>
      </c>
      <c r="Q823">
        <v>6.9</v>
      </c>
      <c r="R823" s="3">
        <f t="shared" si="37"/>
        <v>43503.545138888891</v>
      </c>
      <c r="S823">
        <f t="shared" si="39"/>
        <v>42.000000000698492</v>
      </c>
      <c r="T823">
        <f t="shared" si="38"/>
        <v>42</v>
      </c>
    </row>
    <row r="824" spans="1:20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s="3">
        <f t="shared" si="37"/>
        <v>43503.59375</v>
      </c>
      <c r="S824">
        <f t="shared" si="39"/>
        <v>69.999999997671694</v>
      </c>
      <c r="T824">
        <f t="shared" si="38"/>
        <v>70</v>
      </c>
    </row>
    <row r="825" spans="1:20">
      <c r="A825" t="s">
        <v>714</v>
      </c>
      <c r="B825" t="s">
        <v>25</v>
      </c>
      <c r="C825" t="s">
        <v>26</v>
      </c>
      <c r="D825" t="s">
        <v>27</v>
      </c>
      <c r="E825" t="s">
        <v>177</v>
      </c>
      <c r="F825" t="s">
        <v>22</v>
      </c>
      <c r="G825">
        <v>58.95</v>
      </c>
      <c r="H825">
        <v>10</v>
      </c>
      <c r="I825">
        <v>29.475000000000001</v>
      </c>
      <c r="J825">
        <v>618.97500000000002</v>
      </c>
      <c r="K825" s="1">
        <v>43503</v>
      </c>
      <c r="L825" s="2">
        <v>0.6020833333333333</v>
      </c>
      <c r="M825" t="s">
        <v>23</v>
      </c>
      <c r="N825">
        <v>589.5</v>
      </c>
      <c r="O825">
        <v>4.7619047620000003</v>
      </c>
      <c r="P825">
        <v>29.475000000000001</v>
      </c>
      <c r="Q825">
        <v>8.1</v>
      </c>
      <c r="R825" s="3">
        <f t="shared" si="37"/>
        <v>43503.602083333331</v>
      </c>
      <c r="S825">
        <f t="shared" si="39"/>
        <v>11.999999997206032</v>
      </c>
      <c r="T825">
        <f t="shared" si="38"/>
        <v>12</v>
      </c>
    </row>
    <row r="826" spans="1:20">
      <c r="A826" t="s">
        <v>475</v>
      </c>
      <c r="B826" t="s">
        <v>25</v>
      </c>
      <c r="C826" t="s">
        <v>26</v>
      </c>
      <c r="D826" t="s">
        <v>27</v>
      </c>
      <c r="E826" t="s">
        <v>21</v>
      </c>
      <c r="F826" t="s">
        <v>28</v>
      </c>
      <c r="G826">
        <v>40.86</v>
      </c>
      <c r="H826">
        <v>8</v>
      </c>
      <c r="I826">
        <v>16.344000000000001</v>
      </c>
      <c r="J826">
        <v>343.22399999999999</v>
      </c>
      <c r="K826" s="1">
        <v>43503</v>
      </c>
      <c r="L826" s="2">
        <v>0.60972222222222228</v>
      </c>
      <c r="M826" t="s">
        <v>32</v>
      </c>
      <c r="N826">
        <v>326.88</v>
      </c>
      <c r="O826">
        <v>4.7619047620000003</v>
      </c>
      <c r="P826">
        <v>16.344000000000001</v>
      </c>
      <c r="Q826">
        <v>6.5</v>
      </c>
      <c r="R826" s="3">
        <f t="shared" si="37"/>
        <v>43503.609722222223</v>
      </c>
      <c r="S826">
        <f t="shared" si="39"/>
        <v>11.000000004423782</v>
      </c>
      <c r="T826">
        <f t="shared" si="38"/>
        <v>11</v>
      </c>
    </row>
    <row r="827" spans="1:20">
      <c r="A827" t="s">
        <v>655</v>
      </c>
      <c r="B827" t="s">
        <v>25</v>
      </c>
      <c r="C827" t="s">
        <v>26</v>
      </c>
      <c r="D827" t="s">
        <v>20</v>
      </c>
      <c r="E827" t="s">
        <v>21</v>
      </c>
      <c r="F827" t="s">
        <v>45</v>
      </c>
      <c r="G827">
        <v>43.46</v>
      </c>
      <c r="H827">
        <v>6</v>
      </c>
      <c r="I827">
        <v>13.038</v>
      </c>
      <c r="J827">
        <v>273.798</v>
      </c>
      <c r="K827" s="1">
        <v>43503</v>
      </c>
      <c r="L827" s="2">
        <v>0.74652777777777779</v>
      </c>
      <c r="M827" t="s">
        <v>23</v>
      </c>
      <c r="N827">
        <v>260.76</v>
      </c>
      <c r="O827">
        <v>4.7619047620000003</v>
      </c>
      <c r="P827">
        <v>13.038</v>
      </c>
      <c r="Q827">
        <v>8.5</v>
      </c>
      <c r="R827" s="3">
        <f t="shared" si="37"/>
        <v>43503.746527777781</v>
      </c>
      <c r="S827">
        <f t="shared" si="39"/>
        <v>197.0000000030268</v>
      </c>
      <c r="T827">
        <f t="shared" si="38"/>
        <v>197</v>
      </c>
    </row>
    <row r="828" spans="1:20">
      <c r="A828" t="s">
        <v>1010</v>
      </c>
      <c r="B828" t="s">
        <v>25</v>
      </c>
      <c r="C828" t="s">
        <v>26</v>
      </c>
      <c r="D828" t="s">
        <v>27</v>
      </c>
      <c r="E828" t="s">
        <v>177</v>
      </c>
      <c r="F828" t="s">
        <v>45</v>
      </c>
      <c r="G828">
        <v>86.13</v>
      </c>
      <c r="H828">
        <v>2</v>
      </c>
      <c r="I828">
        <v>8.6129999999999995</v>
      </c>
      <c r="J828">
        <v>180.87299999999999</v>
      </c>
      <c r="K828" s="1">
        <v>43503</v>
      </c>
      <c r="L828" s="2">
        <v>0.74930555555555556</v>
      </c>
      <c r="M828" t="s">
        <v>29</v>
      </c>
      <c r="N828">
        <v>172.26</v>
      </c>
      <c r="O828">
        <v>4.7619047620000003</v>
      </c>
      <c r="P828">
        <v>8.6129999999999995</v>
      </c>
      <c r="Q828">
        <v>8.1999999999999993</v>
      </c>
      <c r="R828" s="3">
        <f t="shared" si="37"/>
        <v>43503.749305555553</v>
      </c>
      <c r="S828">
        <f t="shared" si="39"/>
        <v>3.9999999920837581</v>
      </c>
      <c r="T828">
        <f t="shared" si="38"/>
        <v>4</v>
      </c>
    </row>
    <row r="829" spans="1:20">
      <c r="A829" t="s">
        <v>189</v>
      </c>
      <c r="B829" t="s">
        <v>25</v>
      </c>
      <c r="C829" t="s">
        <v>26</v>
      </c>
      <c r="D829" t="s">
        <v>27</v>
      </c>
      <c r="E829" t="s">
        <v>21</v>
      </c>
      <c r="F829" t="s">
        <v>43</v>
      </c>
      <c r="G829">
        <v>16.48</v>
      </c>
      <c r="H829">
        <v>6</v>
      </c>
      <c r="I829">
        <v>4.944</v>
      </c>
      <c r="J829">
        <v>103.824</v>
      </c>
      <c r="K829" s="1">
        <v>43503</v>
      </c>
      <c r="L829" s="2">
        <v>0.76597222222222228</v>
      </c>
      <c r="M829" t="s">
        <v>23</v>
      </c>
      <c r="N829">
        <v>98.88</v>
      </c>
      <c r="O829">
        <v>4.7619047620000003</v>
      </c>
      <c r="P829">
        <v>4.944</v>
      </c>
      <c r="Q829">
        <v>9.9</v>
      </c>
      <c r="R829" s="3">
        <f t="shared" si="37"/>
        <v>43503.765972222223</v>
      </c>
      <c r="S829">
        <f t="shared" si="39"/>
        <v>24.000000004889444</v>
      </c>
      <c r="T829">
        <f t="shared" si="38"/>
        <v>24</v>
      </c>
    </row>
    <row r="830" spans="1:20" hidden="1">
      <c r="A830" t="s">
        <v>848</v>
      </c>
      <c r="B830" t="s">
        <v>25</v>
      </c>
      <c r="C830" t="s">
        <v>26</v>
      </c>
      <c r="D830" t="s">
        <v>20</v>
      </c>
      <c r="E830" t="s">
        <v>21</v>
      </c>
      <c r="F830" t="s">
        <v>35</v>
      </c>
      <c r="G830">
        <v>64.97</v>
      </c>
      <c r="H830">
        <v>5</v>
      </c>
      <c r="I830">
        <v>16.2425</v>
      </c>
      <c r="J830">
        <v>341.09249999999997</v>
      </c>
      <c r="K830" s="1">
        <v>43504</v>
      </c>
      <c r="L830" s="2">
        <v>0.53611111111111109</v>
      </c>
      <c r="M830" t="s">
        <v>32</v>
      </c>
      <c r="N830">
        <v>324.85000000000002</v>
      </c>
      <c r="O830">
        <v>4.7619047620000003</v>
      </c>
      <c r="P830">
        <v>16.2425</v>
      </c>
      <c r="Q830">
        <v>6.5</v>
      </c>
      <c r="R830" s="3">
        <f t="shared" si="37"/>
        <v>43504.536111111112</v>
      </c>
      <c r="S830" t="str">
        <f t="shared" si="39"/>
        <v/>
      </c>
      <c r="T830" t="str">
        <f t="shared" si="38"/>
        <v/>
      </c>
    </row>
    <row r="831" spans="1:20">
      <c r="A831" t="s">
        <v>458</v>
      </c>
      <c r="B831" t="s">
        <v>25</v>
      </c>
      <c r="C831" t="s">
        <v>26</v>
      </c>
      <c r="D831" t="s">
        <v>20</v>
      </c>
      <c r="E831" t="s">
        <v>21</v>
      </c>
      <c r="F831" t="s">
        <v>45</v>
      </c>
      <c r="G831">
        <v>97.21</v>
      </c>
      <c r="H831">
        <v>10</v>
      </c>
      <c r="I831">
        <v>48.604999999999997</v>
      </c>
      <c r="J831">
        <v>1020.705</v>
      </c>
      <c r="K831" s="1">
        <v>43504</v>
      </c>
      <c r="L831" s="2">
        <v>0.54166666666666663</v>
      </c>
      <c r="M831" t="s">
        <v>32</v>
      </c>
      <c r="N831">
        <v>972.1</v>
      </c>
      <c r="O831">
        <v>4.7619047620000003</v>
      </c>
      <c r="P831">
        <v>48.604999999999997</v>
      </c>
      <c r="Q831">
        <v>8.6999999999999993</v>
      </c>
      <c r="R831" s="3">
        <f t="shared" si="37"/>
        <v>43504.541666666664</v>
      </c>
      <c r="S831">
        <f t="shared" si="39"/>
        <v>7.9999999946448952</v>
      </c>
      <c r="T831">
        <f t="shared" si="38"/>
        <v>8</v>
      </c>
    </row>
    <row r="832" spans="1:20">
      <c r="A832" t="s">
        <v>502</v>
      </c>
      <c r="B832" t="s">
        <v>25</v>
      </c>
      <c r="C832" t="s">
        <v>26</v>
      </c>
      <c r="D832" t="s">
        <v>20</v>
      </c>
      <c r="E832" t="s">
        <v>21</v>
      </c>
      <c r="F832" t="s">
        <v>22</v>
      </c>
      <c r="G832">
        <v>37.15</v>
      </c>
      <c r="H832">
        <v>7</v>
      </c>
      <c r="I832">
        <v>13.0025</v>
      </c>
      <c r="J832">
        <v>273.05250000000001</v>
      </c>
      <c r="K832" s="1">
        <v>43504</v>
      </c>
      <c r="L832" s="2">
        <v>0.55000000000000004</v>
      </c>
      <c r="M832" t="s">
        <v>32</v>
      </c>
      <c r="N832">
        <v>260.05</v>
      </c>
      <c r="O832">
        <v>4.7619047620000003</v>
      </c>
      <c r="P832">
        <v>13.0025</v>
      </c>
      <c r="Q832">
        <v>7.7</v>
      </c>
      <c r="R832" s="3">
        <f t="shared" si="37"/>
        <v>43504.55</v>
      </c>
      <c r="S832">
        <f t="shared" si="39"/>
        <v>12.000000007683411</v>
      </c>
      <c r="T832">
        <f t="shared" si="38"/>
        <v>12</v>
      </c>
    </row>
    <row r="833" spans="1:20" hidden="1">
      <c r="A833" t="s">
        <v>216</v>
      </c>
      <c r="B833" t="s">
        <v>25</v>
      </c>
      <c r="C833" t="s">
        <v>26</v>
      </c>
      <c r="D833" t="s">
        <v>27</v>
      </c>
      <c r="E833" t="s">
        <v>177</v>
      </c>
      <c r="F833" t="s">
        <v>45</v>
      </c>
      <c r="G833">
        <v>64.260000000000005</v>
      </c>
      <c r="H833">
        <v>7</v>
      </c>
      <c r="I833">
        <v>22.491</v>
      </c>
      <c r="J833">
        <v>472.31099999999998</v>
      </c>
      <c r="K833" s="1">
        <v>43505</v>
      </c>
      <c r="L833" s="2">
        <v>0.41666666666666669</v>
      </c>
      <c r="M833" t="s">
        <v>29</v>
      </c>
      <c r="N833">
        <v>449.82</v>
      </c>
      <c r="O833">
        <v>4.7619047620000003</v>
      </c>
      <c r="P833">
        <v>22.491</v>
      </c>
      <c r="Q833">
        <v>5.7</v>
      </c>
      <c r="R833" s="3">
        <f t="shared" si="37"/>
        <v>43505.416666666664</v>
      </c>
      <c r="S833" t="str">
        <f t="shared" si="39"/>
        <v/>
      </c>
      <c r="T833" t="str">
        <f t="shared" si="38"/>
        <v/>
      </c>
    </row>
    <row r="834" spans="1:20">
      <c r="A834" t="s">
        <v>504</v>
      </c>
      <c r="B834" t="s">
        <v>25</v>
      </c>
      <c r="C834" t="s">
        <v>26</v>
      </c>
      <c r="D834" t="s">
        <v>27</v>
      </c>
      <c r="E834" t="s">
        <v>177</v>
      </c>
      <c r="F834" t="s">
        <v>43</v>
      </c>
      <c r="G834">
        <v>21.58</v>
      </c>
      <c r="H834">
        <v>1</v>
      </c>
      <c r="I834">
        <v>1.079</v>
      </c>
      <c r="J834">
        <v>22.658999999999999</v>
      </c>
      <c r="K834" s="1">
        <v>43505</v>
      </c>
      <c r="L834" s="2">
        <v>0.41805555555555557</v>
      </c>
      <c r="M834" t="s">
        <v>23</v>
      </c>
      <c r="N834">
        <v>21.58</v>
      </c>
      <c r="O834">
        <v>4.7619047620000003</v>
      </c>
      <c r="P834">
        <v>1.079</v>
      </c>
      <c r="Q834">
        <v>7.2</v>
      </c>
      <c r="R834" s="3">
        <f t="shared" ref="R834:R897" si="40">K834+L834</f>
        <v>43505.418055555558</v>
      </c>
      <c r="S834">
        <f t="shared" si="39"/>
        <v>2.000000006519258</v>
      </c>
      <c r="T834">
        <f t="shared" si="38"/>
        <v>2</v>
      </c>
    </row>
    <row r="835" spans="1:20">
      <c r="A835" t="s">
        <v>352</v>
      </c>
      <c r="B835" t="s">
        <v>25</v>
      </c>
      <c r="C835" t="s">
        <v>26</v>
      </c>
      <c r="D835" t="s">
        <v>20</v>
      </c>
      <c r="E835" t="s">
        <v>21</v>
      </c>
      <c r="F835" t="s">
        <v>43</v>
      </c>
      <c r="G835">
        <v>21.08</v>
      </c>
      <c r="H835">
        <v>3</v>
      </c>
      <c r="I835">
        <v>3.1619999999999999</v>
      </c>
      <c r="J835">
        <v>66.402000000000001</v>
      </c>
      <c r="K835" s="1">
        <v>43505</v>
      </c>
      <c r="L835" s="2">
        <v>0.43402777777777779</v>
      </c>
      <c r="M835" t="s">
        <v>29</v>
      </c>
      <c r="N835">
        <v>63.24</v>
      </c>
      <c r="O835">
        <v>4.7619047620000003</v>
      </c>
      <c r="P835">
        <v>3.1619999999999999</v>
      </c>
      <c r="Q835">
        <v>7.3</v>
      </c>
      <c r="R835" s="3">
        <f t="shared" si="40"/>
        <v>43505.434027777781</v>
      </c>
      <c r="S835">
        <f t="shared" si="39"/>
        <v>23.000000001629815</v>
      </c>
      <c r="T835">
        <f t="shared" ref="T835:T898" si="41">IF(S835="","",ROUND(S835,2))</f>
        <v>23</v>
      </c>
    </row>
    <row r="836" spans="1:20">
      <c r="A836" t="s">
        <v>132</v>
      </c>
      <c r="B836" t="s">
        <v>25</v>
      </c>
      <c r="C836" t="s">
        <v>26</v>
      </c>
      <c r="D836" t="s">
        <v>20</v>
      </c>
      <c r="E836" t="s">
        <v>21</v>
      </c>
      <c r="F836" t="s">
        <v>28</v>
      </c>
      <c r="G836">
        <v>12.45</v>
      </c>
      <c r="H836">
        <v>6</v>
      </c>
      <c r="I836">
        <v>3.7349999999999999</v>
      </c>
      <c r="J836">
        <v>78.435000000000002</v>
      </c>
      <c r="K836" s="1">
        <v>43505</v>
      </c>
      <c r="L836" s="2">
        <v>0.5493055555555556</v>
      </c>
      <c r="M836" t="s">
        <v>29</v>
      </c>
      <c r="N836">
        <v>74.7</v>
      </c>
      <c r="O836">
        <v>4.7619047620000003</v>
      </c>
      <c r="P836">
        <v>3.7349999999999999</v>
      </c>
      <c r="Q836">
        <v>4.0999999999999996</v>
      </c>
      <c r="R836" s="3">
        <f t="shared" si="40"/>
        <v>43505.549305555556</v>
      </c>
      <c r="S836">
        <f t="shared" si="39"/>
        <v>165.99999999627471</v>
      </c>
      <c r="T836">
        <f t="shared" si="41"/>
        <v>166</v>
      </c>
    </row>
    <row r="837" spans="1:20">
      <c r="A837" t="s">
        <v>545</v>
      </c>
      <c r="B837" t="s">
        <v>25</v>
      </c>
      <c r="C837" t="s">
        <v>26</v>
      </c>
      <c r="D837" t="s">
        <v>20</v>
      </c>
      <c r="E837" t="s">
        <v>21</v>
      </c>
      <c r="F837" t="s">
        <v>31</v>
      </c>
      <c r="G837">
        <v>15.95</v>
      </c>
      <c r="H837">
        <v>6</v>
      </c>
      <c r="I837">
        <v>4.7850000000000001</v>
      </c>
      <c r="J837">
        <v>100.485</v>
      </c>
      <c r="K837" s="1">
        <v>43505</v>
      </c>
      <c r="L837" s="2">
        <v>0.71875</v>
      </c>
      <c r="M837" t="s">
        <v>32</v>
      </c>
      <c r="N837">
        <v>95.7</v>
      </c>
      <c r="O837">
        <v>4.7619047620000003</v>
      </c>
      <c r="P837">
        <v>4.7850000000000001</v>
      </c>
      <c r="Q837">
        <v>5.0999999999999996</v>
      </c>
      <c r="R837" s="3">
        <f t="shared" si="40"/>
        <v>43505.71875</v>
      </c>
      <c r="S837">
        <f t="shared" si="39"/>
        <v>243.99999999906868</v>
      </c>
      <c r="T837">
        <f t="shared" si="41"/>
        <v>244</v>
      </c>
    </row>
    <row r="838" spans="1:20">
      <c r="A838" t="s">
        <v>942</v>
      </c>
      <c r="B838" t="s">
        <v>25</v>
      </c>
      <c r="C838" t="s">
        <v>26</v>
      </c>
      <c r="D838" t="s">
        <v>27</v>
      </c>
      <c r="E838" t="s">
        <v>177</v>
      </c>
      <c r="F838" t="s">
        <v>22</v>
      </c>
      <c r="G838">
        <v>84.61</v>
      </c>
      <c r="H838">
        <v>10</v>
      </c>
      <c r="I838">
        <v>42.305</v>
      </c>
      <c r="J838">
        <v>888.40499999999997</v>
      </c>
      <c r="K838" s="1">
        <v>43505</v>
      </c>
      <c r="L838" s="2">
        <v>0.79027777777777775</v>
      </c>
      <c r="M838" t="s">
        <v>32</v>
      </c>
      <c r="N838">
        <v>846.1</v>
      </c>
      <c r="O838">
        <v>4.7619047620000003</v>
      </c>
      <c r="P838">
        <v>42.305</v>
      </c>
      <c r="Q838">
        <v>8.8000000000000007</v>
      </c>
      <c r="R838" s="3">
        <f t="shared" si="40"/>
        <v>43505.790277777778</v>
      </c>
      <c r="S838">
        <f t="shared" si="39"/>
        <v>103.00000000046566</v>
      </c>
      <c r="T838">
        <f t="shared" si="41"/>
        <v>103</v>
      </c>
    </row>
    <row r="839" spans="1:20" hidden="1">
      <c r="A839" t="s">
        <v>729</v>
      </c>
      <c r="B839" t="s">
        <v>25</v>
      </c>
      <c r="C839" t="s">
        <v>26</v>
      </c>
      <c r="D839" t="s">
        <v>20</v>
      </c>
      <c r="E839" t="s">
        <v>21</v>
      </c>
      <c r="F839" t="s">
        <v>45</v>
      </c>
      <c r="G839">
        <v>73.38</v>
      </c>
      <c r="H839">
        <v>7</v>
      </c>
      <c r="I839">
        <v>25.683</v>
      </c>
      <c r="J839">
        <v>539.34299999999996</v>
      </c>
      <c r="K839" s="1">
        <v>43506</v>
      </c>
      <c r="L839" s="2">
        <v>0.5805555555555556</v>
      </c>
      <c r="M839" t="s">
        <v>29</v>
      </c>
      <c r="N839">
        <v>513.66</v>
      </c>
      <c r="O839">
        <v>4.7619047620000003</v>
      </c>
      <c r="P839">
        <v>25.683</v>
      </c>
      <c r="Q839">
        <v>9.5</v>
      </c>
      <c r="R839" s="3">
        <f t="shared" si="40"/>
        <v>43506.580555555556</v>
      </c>
      <c r="S839" t="str">
        <f t="shared" si="39"/>
        <v/>
      </c>
      <c r="T839" t="str">
        <f t="shared" si="41"/>
        <v/>
      </c>
    </row>
    <row r="840" spans="1:20">
      <c r="A840" t="s">
        <v>101</v>
      </c>
      <c r="B840" t="s">
        <v>25</v>
      </c>
      <c r="C840" t="s">
        <v>26</v>
      </c>
      <c r="D840" t="s">
        <v>20</v>
      </c>
      <c r="E840" t="s">
        <v>21</v>
      </c>
      <c r="F840" t="s">
        <v>22</v>
      </c>
      <c r="G840">
        <v>33.47</v>
      </c>
      <c r="H840">
        <v>2</v>
      </c>
      <c r="I840">
        <v>3.347</v>
      </c>
      <c r="J840">
        <v>70.287000000000006</v>
      </c>
      <c r="K840" s="1">
        <v>43506</v>
      </c>
      <c r="L840" s="2">
        <v>0.65486111111111112</v>
      </c>
      <c r="M840" t="s">
        <v>23</v>
      </c>
      <c r="N840">
        <v>66.94</v>
      </c>
      <c r="O840">
        <v>4.7619047620000003</v>
      </c>
      <c r="P840">
        <v>3.347</v>
      </c>
      <c r="Q840">
        <v>6.7</v>
      </c>
      <c r="R840" s="3">
        <f t="shared" si="40"/>
        <v>43506.654861111114</v>
      </c>
      <c r="S840">
        <f t="shared" si="39"/>
        <v>107.0000000030268</v>
      </c>
      <c r="T840">
        <f t="shared" si="41"/>
        <v>107</v>
      </c>
    </row>
    <row r="841" spans="1:20">
      <c r="A841" t="s">
        <v>350</v>
      </c>
      <c r="B841" t="s">
        <v>25</v>
      </c>
      <c r="C841" t="s">
        <v>26</v>
      </c>
      <c r="D841" t="s">
        <v>20</v>
      </c>
      <c r="E841" t="s">
        <v>21</v>
      </c>
      <c r="F841" t="s">
        <v>28</v>
      </c>
      <c r="G841">
        <v>78.13</v>
      </c>
      <c r="H841">
        <v>10</v>
      </c>
      <c r="I841">
        <v>39.064999999999998</v>
      </c>
      <c r="J841">
        <v>820.36500000000001</v>
      </c>
      <c r="K841" s="1">
        <v>43506</v>
      </c>
      <c r="L841" s="2">
        <v>0.86875000000000002</v>
      </c>
      <c r="M841" t="s">
        <v>29</v>
      </c>
      <c r="N841">
        <v>781.3</v>
      </c>
      <c r="O841">
        <v>4.7619047620000003</v>
      </c>
      <c r="P841">
        <v>39.064999999999998</v>
      </c>
      <c r="Q841">
        <v>4.4000000000000004</v>
      </c>
      <c r="R841" s="3">
        <f t="shared" si="40"/>
        <v>43506.868750000001</v>
      </c>
      <c r="S841">
        <f t="shared" si="39"/>
        <v>307.99999999813735</v>
      </c>
      <c r="T841">
        <f t="shared" si="41"/>
        <v>308</v>
      </c>
    </row>
    <row r="842" spans="1:20" hidden="1">
      <c r="A842" t="s">
        <v>597</v>
      </c>
      <c r="B842" t="s">
        <v>25</v>
      </c>
      <c r="C842" t="s">
        <v>26</v>
      </c>
      <c r="D842" t="s">
        <v>27</v>
      </c>
      <c r="E842" t="s">
        <v>177</v>
      </c>
      <c r="F842" t="s">
        <v>43</v>
      </c>
      <c r="G842">
        <v>89.2</v>
      </c>
      <c r="H842">
        <v>10</v>
      </c>
      <c r="I842">
        <v>44.6</v>
      </c>
      <c r="J842">
        <v>936.6</v>
      </c>
      <c r="K842" s="1">
        <v>43507</v>
      </c>
      <c r="L842" s="2">
        <v>0.65416666666666667</v>
      </c>
      <c r="M842" t="s">
        <v>32</v>
      </c>
      <c r="N842">
        <v>892</v>
      </c>
      <c r="O842">
        <v>4.7619047620000003</v>
      </c>
      <c r="P842">
        <v>44.6</v>
      </c>
      <c r="Q842">
        <v>4.4000000000000004</v>
      </c>
      <c r="R842" s="3">
        <f t="shared" si="40"/>
        <v>43507.654166666667</v>
      </c>
      <c r="S842" t="str">
        <f t="shared" si="39"/>
        <v/>
      </c>
      <c r="T842" t="str">
        <f t="shared" si="41"/>
        <v/>
      </c>
    </row>
    <row r="843" spans="1:20">
      <c r="A843" t="s">
        <v>106</v>
      </c>
      <c r="B843" t="s">
        <v>25</v>
      </c>
      <c r="C843" t="s">
        <v>26</v>
      </c>
      <c r="D843" t="s">
        <v>20</v>
      </c>
      <c r="E843" t="s">
        <v>21</v>
      </c>
      <c r="F843" t="s">
        <v>45</v>
      </c>
      <c r="G843">
        <v>62.12</v>
      </c>
      <c r="H843">
        <v>10</v>
      </c>
      <c r="I843">
        <v>31.06</v>
      </c>
      <c r="J843">
        <v>652.26</v>
      </c>
      <c r="K843" s="1">
        <v>43507</v>
      </c>
      <c r="L843" s="2">
        <v>0.67986111111111114</v>
      </c>
      <c r="M843" t="s">
        <v>29</v>
      </c>
      <c r="N843">
        <v>621.20000000000005</v>
      </c>
      <c r="O843">
        <v>4.7619047620000003</v>
      </c>
      <c r="P843">
        <v>31.06</v>
      </c>
      <c r="Q843">
        <v>5.9</v>
      </c>
      <c r="R843" s="3">
        <f t="shared" si="40"/>
        <v>43507.679861111108</v>
      </c>
      <c r="S843">
        <f t="shared" si="39"/>
        <v>36.999999994877726</v>
      </c>
      <c r="T843">
        <f t="shared" si="41"/>
        <v>37</v>
      </c>
    </row>
    <row r="844" spans="1:20">
      <c r="A844" t="s">
        <v>835</v>
      </c>
      <c r="B844" t="s">
        <v>25</v>
      </c>
      <c r="C844" t="s">
        <v>26</v>
      </c>
      <c r="D844" t="s">
        <v>20</v>
      </c>
      <c r="E844" t="s">
        <v>177</v>
      </c>
      <c r="F844" t="s">
        <v>31</v>
      </c>
      <c r="G844">
        <v>86.69</v>
      </c>
      <c r="H844">
        <v>5</v>
      </c>
      <c r="I844">
        <v>21.672499999999999</v>
      </c>
      <c r="J844">
        <v>455.1225</v>
      </c>
      <c r="K844" s="1">
        <v>43507</v>
      </c>
      <c r="L844" s="2">
        <v>0.77638888888888891</v>
      </c>
      <c r="M844" t="s">
        <v>23</v>
      </c>
      <c r="N844">
        <v>433.45</v>
      </c>
      <c r="O844">
        <v>4.7619047620000003</v>
      </c>
      <c r="P844">
        <v>21.672499999999999</v>
      </c>
      <c r="Q844">
        <v>9.4</v>
      </c>
      <c r="R844" s="3">
        <f t="shared" si="40"/>
        <v>43507.776388888888</v>
      </c>
      <c r="S844">
        <f t="shared" si="39"/>
        <v>139.00000000256114</v>
      </c>
      <c r="T844">
        <f t="shared" si="41"/>
        <v>139</v>
      </c>
    </row>
    <row r="845" spans="1:20" hidden="1">
      <c r="A845" t="s">
        <v>699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87.1</v>
      </c>
      <c r="H845">
        <v>10</v>
      </c>
      <c r="I845">
        <v>43.55</v>
      </c>
      <c r="J845">
        <v>914.55</v>
      </c>
      <c r="K845" s="1">
        <v>43508</v>
      </c>
      <c r="L845" s="2">
        <v>0.61458333333333337</v>
      </c>
      <c r="M845" t="s">
        <v>32</v>
      </c>
      <c r="N845">
        <v>871</v>
      </c>
      <c r="O845">
        <v>4.7619047620000003</v>
      </c>
      <c r="P845">
        <v>43.55</v>
      </c>
      <c r="Q845">
        <v>9.9</v>
      </c>
      <c r="R845" s="3">
        <f t="shared" si="40"/>
        <v>43508.614583333336</v>
      </c>
      <c r="S845" t="str">
        <f t="shared" si="39"/>
        <v/>
      </c>
      <c r="T845" t="str">
        <f t="shared" si="41"/>
        <v/>
      </c>
    </row>
    <row r="846" spans="1:20">
      <c r="A846" t="s">
        <v>912</v>
      </c>
      <c r="B846" t="s">
        <v>25</v>
      </c>
      <c r="C846" t="s">
        <v>26</v>
      </c>
      <c r="D846" t="s">
        <v>20</v>
      </c>
      <c r="E846" t="s">
        <v>177</v>
      </c>
      <c r="F846" t="s">
        <v>45</v>
      </c>
      <c r="G846">
        <v>52.35</v>
      </c>
      <c r="H846">
        <v>1</v>
      </c>
      <c r="I846">
        <v>2.6175000000000002</v>
      </c>
      <c r="J846">
        <v>54.967500000000001</v>
      </c>
      <c r="K846" s="1">
        <v>43508</v>
      </c>
      <c r="L846" s="2">
        <v>0.74236111111111114</v>
      </c>
      <c r="M846" t="s">
        <v>29</v>
      </c>
      <c r="N846">
        <v>52.35</v>
      </c>
      <c r="O846">
        <v>4.7619047620000003</v>
      </c>
      <c r="P846">
        <v>2.6175000000000002</v>
      </c>
      <c r="Q846">
        <v>4</v>
      </c>
      <c r="R846" s="3">
        <f t="shared" si="40"/>
        <v>43508.742361111108</v>
      </c>
      <c r="S846">
        <f t="shared" si="39"/>
        <v>183.99999999208376</v>
      </c>
      <c r="T846">
        <f t="shared" si="41"/>
        <v>184</v>
      </c>
    </row>
    <row r="847" spans="1:20" hidden="1">
      <c r="A847" t="s">
        <v>213</v>
      </c>
      <c r="B847" t="s">
        <v>25</v>
      </c>
      <c r="C847" t="s">
        <v>26</v>
      </c>
      <c r="D847" t="s">
        <v>27</v>
      </c>
      <c r="E847" t="s">
        <v>21</v>
      </c>
      <c r="F847" t="s">
        <v>45</v>
      </c>
      <c r="G847">
        <v>22.51</v>
      </c>
      <c r="H847">
        <v>7</v>
      </c>
      <c r="I847">
        <v>7.8784999999999998</v>
      </c>
      <c r="J847">
        <v>165.4485</v>
      </c>
      <c r="K847" s="1">
        <v>43509</v>
      </c>
      <c r="L847" s="2">
        <v>0.4513888888888889</v>
      </c>
      <c r="M847" t="s">
        <v>32</v>
      </c>
      <c r="N847">
        <v>157.57</v>
      </c>
      <c r="O847">
        <v>4.7619047620000003</v>
      </c>
      <c r="P847">
        <v>7.8784999999999998</v>
      </c>
      <c r="Q847">
        <v>4.8</v>
      </c>
      <c r="R847" s="3">
        <f t="shared" si="40"/>
        <v>43509.451388888891</v>
      </c>
      <c r="S847" t="str">
        <f t="shared" si="39"/>
        <v/>
      </c>
      <c r="T847" t="str">
        <f t="shared" si="41"/>
        <v/>
      </c>
    </row>
    <row r="848" spans="1:20">
      <c r="A848" t="s">
        <v>618</v>
      </c>
      <c r="B848" t="s">
        <v>25</v>
      </c>
      <c r="C848" t="s">
        <v>26</v>
      </c>
      <c r="D848" t="s">
        <v>20</v>
      </c>
      <c r="E848" t="s">
        <v>21</v>
      </c>
      <c r="F848" t="s">
        <v>45</v>
      </c>
      <c r="G848">
        <v>92.98</v>
      </c>
      <c r="H848">
        <v>2</v>
      </c>
      <c r="I848">
        <v>9.298</v>
      </c>
      <c r="J848">
        <v>195.25800000000001</v>
      </c>
      <c r="K848" s="1">
        <v>43509</v>
      </c>
      <c r="L848" s="2">
        <v>0.62916666666666665</v>
      </c>
      <c r="M848" t="s">
        <v>32</v>
      </c>
      <c r="N848">
        <v>185.96</v>
      </c>
      <c r="O848">
        <v>4.7619047620000003</v>
      </c>
      <c r="P848">
        <v>9.298</v>
      </c>
      <c r="Q848">
        <v>8</v>
      </c>
      <c r="R848" s="3">
        <f t="shared" si="40"/>
        <v>43509.629166666666</v>
      </c>
      <c r="S848">
        <f t="shared" si="39"/>
        <v>255.99999999627471</v>
      </c>
      <c r="T848">
        <f t="shared" si="41"/>
        <v>256</v>
      </c>
    </row>
    <row r="849" spans="1:20">
      <c r="A849" t="s">
        <v>879</v>
      </c>
      <c r="B849" t="s">
        <v>25</v>
      </c>
      <c r="C849" t="s">
        <v>26</v>
      </c>
      <c r="D849" t="s">
        <v>20</v>
      </c>
      <c r="E849" t="s">
        <v>21</v>
      </c>
      <c r="F849" t="s">
        <v>43</v>
      </c>
      <c r="G849">
        <v>14.87</v>
      </c>
      <c r="H849">
        <v>2</v>
      </c>
      <c r="I849">
        <v>1.4870000000000001</v>
      </c>
      <c r="J849">
        <v>31.227</v>
      </c>
      <c r="K849" s="1">
        <v>43509</v>
      </c>
      <c r="L849" s="2">
        <v>0.76041666666666663</v>
      </c>
      <c r="M849" t="s">
        <v>32</v>
      </c>
      <c r="N849">
        <v>29.74</v>
      </c>
      <c r="O849">
        <v>4.7619047620000003</v>
      </c>
      <c r="P849">
        <v>1.4870000000000001</v>
      </c>
      <c r="Q849">
        <v>8.9</v>
      </c>
      <c r="R849" s="3">
        <f t="shared" si="40"/>
        <v>43509.760416666664</v>
      </c>
      <c r="S849">
        <f t="shared" ref="S849:S912" si="42">IF(K849=K848, (R849-R848)*1440, "")</f>
        <v>188.99999999790452</v>
      </c>
      <c r="T849">
        <f t="shared" si="41"/>
        <v>189</v>
      </c>
    </row>
    <row r="850" spans="1:20" hidden="1">
      <c r="A850" t="s">
        <v>482</v>
      </c>
      <c r="B850" t="s">
        <v>25</v>
      </c>
      <c r="C850" t="s">
        <v>26</v>
      </c>
      <c r="D850" t="s">
        <v>20</v>
      </c>
      <c r="E850" t="s">
        <v>177</v>
      </c>
      <c r="F850" t="s">
        <v>43</v>
      </c>
      <c r="G850">
        <v>27.66</v>
      </c>
      <c r="H850">
        <v>10</v>
      </c>
      <c r="I850">
        <v>13.83</v>
      </c>
      <c r="J850">
        <v>290.43</v>
      </c>
      <c r="K850" s="1">
        <v>43510</v>
      </c>
      <c r="L850" s="2">
        <v>0.47638888888888886</v>
      </c>
      <c r="M850" t="s">
        <v>32</v>
      </c>
      <c r="N850">
        <v>276.60000000000002</v>
      </c>
      <c r="O850">
        <v>4.7619047620000003</v>
      </c>
      <c r="P850">
        <v>13.83</v>
      </c>
      <c r="Q850">
        <v>8.9</v>
      </c>
      <c r="R850" s="3">
        <f t="shared" si="40"/>
        <v>43510.476388888892</v>
      </c>
      <c r="S850" t="str">
        <f t="shared" si="42"/>
        <v/>
      </c>
      <c r="T850" t="str">
        <f t="shared" si="41"/>
        <v/>
      </c>
    </row>
    <row r="851" spans="1:20">
      <c r="A851" t="s">
        <v>940</v>
      </c>
      <c r="B851" t="s">
        <v>25</v>
      </c>
      <c r="C851" t="s">
        <v>26</v>
      </c>
      <c r="D851" t="s">
        <v>27</v>
      </c>
      <c r="E851" t="s">
        <v>21</v>
      </c>
      <c r="F851" t="s">
        <v>22</v>
      </c>
      <c r="G851">
        <v>58.32</v>
      </c>
      <c r="H851">
        <v>2</v>
      </c>
      <c r="I851">
        <v>5.8319999999999999</v>
      </c>
      <c r="J851">
        <v>122.47199999999999</v>
      </c>
      <c r="K851" s="1">
        <v>43510</v>
      </c>
      <c r="L851" s="2">
        <v>0.52916666666666667</v>
      </c>
      <c r="M851" t="s">
        <v>23</v>
      </c>
      <c r="N851">
        <v>116.64</v>
      </c>
      <c r="O851">
        <v>4.7619047620000003</v>
      </c>
      <c r="P851">
        <v>5.8319999999999999</v>
      </c>
      <c r="Q851">
        <v>6</v>
      </c>
      <c r="R851" s="3">
        <f t="shared" si="40"/>
        <v>43510.529166666667</v>
      </c>
      <c r="S851">
        <f t="shared" si="42"/>
        <v>75.99999999627471</v>
      </c>
      <c r="T851">
        <f t="shared" si="41"/>
        <v>76</v>
      </c>
    </row>
    <row r="852" spans="1:20">
      <c r="A852" t="s">
        <v>351</v>
      </c>
      <c r="B852" t="s">
        <v>25</v>
      </c>
      <c r="C852" t="s">
        <v>26</v>
      </c>
      <c r="D852" t="s">
        <v>20</v>
      </c>
      <c r="E852" t="s">
        <v>177</v>
      </c>
      <c r="F852" t="s">
        <v>43</v>
      </c>
      <c r="G852">
        <v>99.37</v>
      </c>
      <c r="H852">
        <v>2</v>
      </c>
      <c r="I852">
        <v>9.9369999999999994</v>
      </c>
      <c r="J852">
        <v>208.67699999999999</v>
      </c>
      <c r="K852" s="1">
        <v>43510</v>
      </c>
      <c r="L852" s="2">
        <v>0.72847222222222219</v>
      </c>
      <c r="M852" t="s">
        <v>29</v>
      </c>
      <c r="N852">
        <v>198.74</v>
      </c>
      <c r="O852">
        <v>4.7619047620000003</v>
      </c>
      <c r="P852">
        <v>9.9369999999999994</v>
      </c>
      <c r="Q852">
        <v>5.2</v>
      </c>
      <c r="R852" s="3">
        <f t="shared" si="40"/>
        <v>43510.728472222225</v>
      </c>
      <c r="S852">
        <f t="shared" si="42"/>
        <v>287.0000000030268</v>
      </c>
      <c r="T852">
        <f t="shared" si="41"/>
        <v>287</v>
      </c>
    </row>
    <row r="853" spans="1:20" hidden="1">
      <c r="A853" t="s">
        <v>505</v>
      </c>
      <c r="B853" t="s">
        <v>25</v>
      </c>
      <c r="C853" t="s">
        <v>26</v>
      </c>
      <c r="D853" t="s">
        <v>20</v>
      </c>
      <c r="E853" t="s">
        <v>21</v>
      </c>
      <c r="F853" t="s">
        <v>28</v>
      </c>
      <c r="G853">
        <v>98.84</v>
      </c>
      <c r="H853">
        <v>1</v>
      </c>
      <c r="I853">
        <v>4.9420000000000002</v>
      </c>
      <c r="J853">
        <v>103.782</v>
      </c>
      <c r="K853" s="1">
        <v>43511</v>
      </c>
      <c r="L853" s="2">
        <v>0.47291666666666665</v>
      </c>
      <c r="M853" t="s">
        <v>29</v>
      </c>
      <c r="N853">
        <v>98.84</v>
      </c>
      <c r="O853">
        <v>4.7619047620000003</v>
      </c>
      <c r="P853">
        <v>4.9420000000000002</v>
      </c>
      <c r="Q853">
        <v>8.4</v>
      </c>
      <c r="R853" s="3">
        <f t="shared" si="40"/>
        <v>43511.472916666666</v>
      </c>
      <c r="S853" t="str">
        <f t="shared" si="42"/>
        <v/>
      </c>
      <c r="T853" t="str">
        <f t="shared" si="41"/>
        <v/>
      </c>
    </row>
    <row r="854" spans="1:20">
      <c r="A854" t="s">
        <v>517</v>
      </c>
      <c r="B854" t="s">
        <v>25</v>
      </c>
      <c r="C854" t="s">
        <v>26</v>
      </c>
      <c r="D854" t="s">
        <v>27</v>
      </c>
      <c r="E854" t="s">
        <v>21</v>
      </c>
      <c r="F854" t="s">
        <v>28</v>
      </c>
      <c r="G854">
        <v>32.799999999999997</v>
      </c>
      <c r="H854">
        <v>10</v>
      </c>
      <c r="I854">
        <v>16.399999999999999</v>
      </c>
      <c r="J854">
        <v>344.4</v>
      </c>
      <c r="K854" s="1">
        <v>43511</v>
      </c>
      <c r="L854" s="2">
        <v>0.5083333333333333</v>
      </c>
      <c r="M854" t="s">
        <v>29</v>
      </c>
      <c r="N854">
        <v>328</v>
      </c>
      <c r="O854">
        <v>4.7619047620000003</v>
      </c>
      <c r="P854">
        <v>16.399999999999999</v>
      </c>
      <c r="Q854">
        <v>6.2</v>
      </c>
      <c r="R854" s="3">
        <f t="shared" si="40"/>
        <v>43511.508333333331</v>
      </c>
      <c r="S854">
        <f t="shared" si="42"/>
        <v>50.999999998603016</v>
      </c>
      <c r="T854">
        <f t="shared" si="41"/>
        <v>51</v>
      </c>
    </row>
    <row r="855" spans="1:20">
      <c r="A855" t="s">
        <v>426</v>
      </c>
      <c r="B855" t="s">
        <v>25</v>
      </c>
      <c r="C855" t="s">
        <v>26</v>
      </c>
      <c r="D855" t="s">
        <v>20</v>
      </c>
      <c r="E855" t="s">
        <v>21</v>
      </c>
      <c r="F855" t="s">
        <v>45</v>
      </c>
      <c r="G855">
        <v>80.48</v>
      </c>
      <c r="H855">
        <v>3</v>
      </c>
      <c r="I855">
        <v>12.071999999999999</v>
      </c>
      <c r="J855">
        <v>253.512</v>
      </c>
      <c r="K855" s="1">
        <v>43511</v>
      </c>
      <c r="L855" s="2">
        <v>0.52152777777777781</v>
      </c>
      <c r="M855" t="s">
        <v>29</v>
      </c>
      <c r="N855">
        <v>241.44</v>
      </c>
      <c r="O855">
        <v>4.7619047620000003</v>
      </c>
      <c r="P855">
        <v>12.071999999999999</v>
      </c>
      <c r="Q855">
        <v>8.1</v>
      </c>
      <c r="R855" s="3">
        <f t="shared" si="40"/>
        <v>43511.521527777775</v>
      </c>
      <c r="S855">
        <f t="shared" si="42"/>
        <v>18.999999999068677</v>
      </c>
      <c r="T855">
        <f t="shared" si="41"/>
        <v>19</v>
      </c>
    </row>
    <row r="856" spans="1:20">
      <c r="A856" t="s">
        <v>386</v>
      </c>
      <c r="B856" t="s">
        <v>25</v>
      </c>
      <c r="C856" t="s">
        <v>26</v>
      </c>
      <c r="D856" t="s">
        <v>20</v>
      </c>
      <c r="E856" t="s">
        <v>21</v>
      </c>
      <c r="F856" t="s">
        <v>45</v>
      </c>
      <c r="G856">
        <v>99.3</v>
      </c>
      <c r="H856">
        <v>10</v>
      </c>
      <c r="I856">
        <v>49.65</v>
      </c>
      <c r="J856">
        <v>1042.6500000000001</v>
      </c>
      <c r="K856" s="1">
        <v>43511</v>
      </c>
      <c r="L856" s="2">
        <v>0.62013888888888891</v>
      </c>
      <c r="M856" t="s">
        <v>32</v>
      </c>
      <c r="N856">
        <v>993</v>
      </c>
      <c r="O856">
        <v>4.7619047620000003</v>
      </c>
      <c r="P856">
        <v>49.65</v>
      </c>
      <c r="Q856">
        <v>6.6</v>
      </c>
      <c r="R856" s="3">
        <f t="shared" si="40"/>
        <v>43511.620138888888</v>
      </c>
      <c r="S856">
        <f t="shared" si="42"/>
        <v>142.00000000186265</v>
      </c>
      <c r="T856">
        <f t="shared" si="41"/>
        <v>142</v>
      </c>
    </row>
    <row r="857" spans="1:20">
      <c r="A857" t="s">
        <v>709</v>
      </c>
      <c r="B857" t="s">
        <v>25</v>
      </c>
      <c r="C857" t="s">
        <v>26</v>
      </c>
      <c r="D857" t="s">
        <v>27</v>
      </c>
      <c r="E857" t="s">
        <v>177</v>
      </c>
      <c r="F857" t="s">
        <v>22</v>
      </c>
      <c r="G857">
        <v>33.64</v>
      </c>
      <c r="H857">
        <v>8</v>
      </c>
      <c r="I857">
        <v>13.456</v>
      </c>
      <c r="J857">
        <v>282.57600000000002</v>
      </c>
      <c r="K857" s="1">
        <v>43511</v>
      </c>
      <c r="L857" s="2">
        <v>0.71527777777777779</v>
      </c>
      <c r="M857" t="s">
        <v>32</v>
      </c>
      <c r="N857">
        <v>269.12</v>
      </c>
      <c r="O857">
        <v>4.7619047620000003</v>
      </c>
      <c r="P857">
        <v>13.456</v>
      </c>
      <c r="Q857">
        <v>9.3000000000000007</v>
      </c>
      <c r="R857" s="3">
        <f t="shared" si="40"/>
        <v>43511.715277777781</v>
      </c>
      <c r="S857">
        <f t="shared" si="42"/>
        <v>137.00000000651926</v>
      </c>
      <c r="T857">
        <f t="shared" si="41"/>
        <v>137</v>
      </c>
    </row>
    <row r="858" spans="1:20">
      <c r="A858" t="s">
        <v>95</v>
      </c>
      <c r="B858" t="s">
        <v>25</v>
      </c>
      <c r="C858" t="s">
        <v>26</v>
      </c>
      <c r="D858" t="s">
        <v>20</v>
      </c>
      <c r="E858" t="s">
        <v>21</v>
      </c>
      <c r="F858" t="s">
        <v>35</v>
      </c>
      <c r="G858">
        <v>24.74</v>
      </c>
      <c r="H858">
        <v>3</v>
      </c>
      <c r="I858">
        <v>3.7109999999999999</v>
      </c>
      <c r="J858">
        <v>77.930999999999997</v>
      </c>
      <c r="K858" s="1">
        <v>43511</v>
      </c>
      <c r="L858" s="2">
        <v>0.74097222222222225</v>
      </c>
      <c r="M858" t="s">
        <v>32</v>
      </c>
      <c r="N858">
        <v>74.22</v>
      </c>
      <c r="O858">
        <v>4.7619047620000003</v>
      </c>
      <c r="P858">
        <v>3.7109999999999999</v>
      </c>
      <c r="Q858">
        <v>10</v>
      </c>
      <c r="R858" s="3">
        <f t="shared" si="40"/>
        <v>43511.740972222222</v>
      </c>
      <c r="S858">
        <f t="shared" si="42"/>
        <v>36.999999994877726</v>
      </c>
      <c r="T858">
        <f t="shared" si="41"/>
        <v>37</v>
      </c>
    </row>
    <row r="859" spans="1:20">
      <c r="A859" t="s">
        <v>827</v>
      </c>
      <c r="B859" t="s">
        <v>25</v>
      </c>
      <c r="C859" t="s">
        <v>26</v>
      </c>
      <c r="D859" t="s">
        <v>20</v>
      </c>
      <c r="E859" t="s">
        <v>177</v>
      </c>
      <c r="F859" t="s">
        <v>22</v>
      </c>
      <c r="G859">
        <v>68.55</v>
      </c>
      <c r="H859">
        <v>4</v>
      </c>
      <c r="I859">
        <v>13.71</v>
      </c>
      <c r="J859">
        <v>287.91000000000003</v>
      </c>
      <c r="K859" s="1">
        <v>43511</v>
      </c>
      <c r="L859" s="2">
        <v>0.84791666666666665</v>
      </c>
      <c r="M859" t="s">
        <v>32</v>
      </c>
      <c r="N859">
        <v>274.2</v>
      </c>
      <c r="O859">
        <v>4.7619047620000003</v>
      </c>
      <c r="P859">
        <v>13.71</v>
      </c>
      <c r="Q859">
        <v>9.1999999999999993</v>
      </c>
      <c r="R859" s="3">
        <f t="shared" si="40"/>
        <v>43511.847916666666</v>
      </c>
      <c r="S859">
        <f t="shared" si="42"/>
        <v>153.99999999906868</v>
      </c>
      <c r="T859">
        <f t="shared" si="41"/>
        <v>154</v>
      </c>
    </row>
    <row r="860" spans="1:20" hidden="1">
      <c r="A860" t="s">
        <v>704</v>
      </c>
      <c r="B860" t="s">
        <v>25</v>
      </c>
      <c r="C860" t="s">
        <v>26</v>
      </c>
      <c r="D860" t="s">
        <v>20</v>
      </c>
      <c r="E860" t="s">
        <v>21</v>
      </c>
      <c r="F860" t="s">
        <v>22</v>
      </c>
      <c r="G860">
        <v>47.71</v>
      </c>
      <c r="H860">
        <v>6</v>
      </c>
      <c r="I860">
        <v>14.313000000000001</v>
      </c>
      <c r="J860">
        <v>300.57299999999998</v>
      </c>
      <c r="K860" s="1">
        <v>43512</v>
      </c>
      <c r="L860" s="2">
        <v>0.59652777777777777</v>
      </c>
      <c r="M860" t="s">
        <v>23</v>
      </c>
      <c r="N860">
        <v>286.26</v>
      </c>
      <c r="O860">
        <v>4.7619047620000003</v>
      </c>
      <c r="P860">
        <v>14.313000000000001</v>
      </c>
      <c r="Q860">
        <v>4.4000000000000004</v>
      </c>
      <c r="R860" s="3">
        <f t="shared" si="40"/>
        <v>43512.59652777778</v>
      </c>
      <c r="S860" t="str">
        <f t="shared" si="42"/>
        <v/>
      </c>
      <c r="T860" t="str">
        <f t="shared" si="41"/>
        <v/>
      </c>
    </row>
    <row r="861" spans="1:20">
      <c r="A861" t="s">
        <v>680</v>
      </c>
      <c r="B861" t="s">
        <v>25</v>
      </c>
      <c r="C861" t="s">
        <v>26</v>
      </c>
      <c r="D861" t="s">
        <v>20</v>
      </c>
      <c r="E861" t="s">
        <v>177</v>
      </c>
      <c r="F861" t="s">
        <v>28</v>
      </c>
      <c r="G861">
        <v>12.05</v>
      </c>
      <c r="H861">
        <v>5</v>
      </c>
      <c r="I861">
        <v>3.0125000000000002</v>
      </c>
      <c r="J861">
        <v>63.262500000000003</v>
      </c>
      <c r="K861" s="1">
        <v>43512</v>
      </c>
      <c r="L861" s="2">
        <v>0.66180555555555554</v>
      </c>
      <c r="M861" t="s">
        <v>23</v>
      </c>
      <c r="N861">
        <v>60.25</v>
      </c>
      <c r="O861">
        <v>4.7619047620000003</v>
      </c>
      <c r="P861">
        <v>3.0125000000000002</v>
      </c>
      <c r="Q861">
        <v>5.5</v>
      </c>
      <c r="R861" s="3">
        <f t="shared" si="40"/>
        <v>43512.661805555559</v>
      </c>
      <c r="S861">
        <f t="shared" si="42"/>
        <v>94.000000002561137</v>
      </c>
      <c r="T861">
        <f t="shared" si="41"/>
        <v>94</v>
      </c>
    </row>
    <row r="862" spans="1:20">
      <c r="A862" t="s">
        <v>440</v>
      </c>
      <c r="B862" t="s">
        <v>25</v>
      </c>
      <c r="C862" t="s">
        <v>26</v>
      </c>
      <c r="D862" t="s">
        <v>20</v>
      </c>
      <c r="E862" t="s">
        <v>21</v>
      </c>
      <c r="F862" t="s">
        <v>45</v>
      </c>
      <c r="G862">
        <v>97.79</v>
      </c>
      <c r="H862">
        <v>7</v>
      </c>
      <c r="I862">
        <v>34.226500000000001</v>
      </c>
      <c r="J862">
        <v>718.75649999999996</v>
      </c>
      <c r="K862" s="1">
        <v>43512</v>
      </c>
      <c r="L862" s="2">
        <v>0.72916666666666663</v>
      </c>
      <c r="M862" t="s">
        <v>23</v>
      </c>
      <c r="N862">
        <v>684.53</v>
      </c>
      <c r="O862">
        <v>4.7619047620000003</v>
      </c>
      <c r="P862">
        <v>34.226500000000001</v>
      </c>
      <c r="Q862">
        <v>4.9000000000000004</v>
      </c>
      <c r="R862" s="3">
        <f t="shared" si="40"/>
        <v>43512.729166666664</v>
      </c>
      <c r="S862">
        <f t="shared" si="42"/>
        <v>96.999999991385266</v>
      </c>
      <c r="T862">
        <f t="shared" si="41"/>
        <v>97</v>
      </c>
    </row>
    <row r="863" spans="1:20" hidden="1">
      <c r="A863" t="s">
        <v>808</v>
      </c>
      <c r="B863" t="s">
        <v>25</v>
      </c>
      <c r="C863" t="s">
        <v>26</v>
      </c>
      <c r="D863" t="s">
        <v>20</v>
      </c>
      <c r="E863" t="s">
        <v>21</v>
      </c>
      <c r="F863" t="s">
        <v>35</v>
      </c>
      <c r="G863">
        <v>67.989999999999995</v>
      </c>
      <c r="H863">
        <v>7</v>
      </c>
      <c r="I863">
        <v>23.796500000000002</v>
      </c>
      <c r="J863">
        <v>499.72649999999999</v>
      </c>
      <c r="K863" s="1">
        <v>43513</v>
      </c>
      <c r="L863" s="2">
        <v>0.70138888888888884</v>
      </c>
      <c r="M863" t="s">
        <v>23</v>
      </c>
      <c r="N863">
        <v>475.93</v>
      </c>
      <c r="O863">
        <v>4.7619047620000003</v>
      </c>
      <c r="P863">
        <v>23.796500000000002</v>
      </c>
      <c r="Q863">
        <v>5.7</v>
      </c>
      <c r="R863" s="3">
        <f t="shared" si="40"/>
        <v>43513.701388888891</v>
      </c>
      <c r="S863" t="str">
        <f t="shared" si="42"/>
        <v/>
      </c>
      <c r="T863" t="str">
        <f t="shared" si="41"/>
        <v/>
      </c>
    </row>
    <row r="864" spans="1:20">
      <c r="A864" t="s">
        <v>258</v>
      </c>
      <c r="B864" t="s">
        <v>25</v>
      </c>
      <c r="C864" t="s">
        <v>26</v>
      </c>
      <c r="D864" t="s">
        <v>27</v>
      </c>
      <c r="E864" t="s">
        <v>177</v>
      </c>
      <c r="F864" t="s">
        <v>28</v>
      </c>
      <c r="G864">
        <v>11.81</v>
      </c>
      <c r="H864">
        <v>5</v>
      </c>
      <c r="I864">
        <v>2.9525000000000001</v>
      </c>
      <c r="J864">
        <v>62.002499999999998</v>
      </c>
      <c r="K864" s="1">
        <v>43513</v>
      </c>
      <c r="L864" s="2">
        <v>0.75416666666666665</v>
      </c>
      <c r="M864" t="s">
        <v>29</v>
      </c>
      <c r="N864">
        <v>59.05</v>
      </c>
      <c r="O864">
        <v>4.7619047620000003</v>
      </c>
      <c r="P864">
        <v>2.9525000000000001</v>
      </c>
      <c r="Q864">
        <v>9.4</v>
      </c>
      <c r="R864" s="3">
        <f t="shared" si="40"/>
        <v>43513.754166666666</v>
      </c>
      <c r="S864">
        <f t="shared" si="42"/>
        <v>75.99999999627471</v>
      </c>
      <c r="T864">
        <f t="shared" si="41"/>
        <v>76</v>
      </c>
    </row>
    <row r="865" spans="1:20">
      <c r="A865" t="s">
        <v>633</v>
      </c>
      <c r="B865" t="s">
        <v>25</v>
      </c>
      <c r="C865" t="s">
        <v>26</v>
      </c>
      <c r="D865" t="s">
        <v>27</v>
      </c>
      <c r="E865" t="s">
        <v>21</v>
      </c>
      <c r="F865" t="s">
        <v>35</v>
      </c>
      <c r="G865">
        <v>46.66</v>
      </c>
      <c r="H865">
        <v>9</v>
      </c>
      <c r="I865">
        <v>20.997</v>
      </c>
      <c r="J865">
        <v>440.93700000000001</v>
      </c>
      <c r="K865" s="1">
        <v>43513</v>
      </c>
      <c r="L865" s="2">
        <v>0.7993055555555556</v>
      </c>
      <c r="M865" t="s">
        <v>23</v>
      </c>
      <c r="N865">
        <v>419.94</v>
      </c>
      <c r="O865">
        <v>4.7619047620000003</v>
      </c>
      <c r="P865">
        <v>20.997</v>
      </c>
      <c r="Q865">
        <v>5.3</v>
      </c>
      <c r="R865" s="3">
        <f t="shared" si="40"/>
        <v>43513.799305555556</v>
      </c>
      <c r="S865">
        <f t="shared" si="42"/>
        <v>65.000000002328306</v>
      </c>
      <c r="T865">
        <f t="shared" si="41"/>
        <v>65</v>
      </c>
    </row>
    <row r="866" spans="1:20">
      <c r="A866" t="s">
        <v>235</v>
      </c>
      <c r="B866" t="s">
        <v>25</v>
      </c>
      <c r="C866" t="s">
        <v>26</v>
      </c>
      <c r="D866" t="s">
        <v>20</v>
      </c>
      <c r="E866" t="s">
        <v>21</v>
      </c>
      <c r="F866" t="s">
        <v>43</v>
      </c>
      <c r="G866">
        <v>71.39</v>
      </c>
      <c r="H866">
        <v>5</v>
      </c>
      <c r="I866">
        <v>17.8475</v>
      </c>
      <c r="J866">
        <v>374.79750000000001</v>
      </c>
      <c r="K866" s="1">
        <v>43513</v>
      </c>
      <c r="L866" s="2">
        <v>0.83125000000000004</v>
      </c>
      <c r="M866" t="s">
        <v>32</v>
      </c>
      <c r="N866">
        <v>356.95</v>
      </c>
      <c r="O866">
        <v>4.7619047620000003</v>
      </c>
      <c r="P866">
        <v>17.8475</v>
      </c>
      <c r="Q866">
        <v>5.5</v>
      </c>
      <c r="R866" s="3">
        <f t="shared" si="40"/>
        <v>43513.831250000003</v>
      </c>
      <c r="S866">
        <f t="shared" si="42"/>
        <v>46.000000003259629</v>
      </c>
      <c r="T866">
        <f t="shared" si="41"/>
        <v>46</v>
      </c>
    </row>
    <row r="867" spans="1:20" hidden="1">
      <c r="A867" t="s">
        <v>1030</v>
      </c>
      <c r="B867" t="s">
        <v>25</v>
      </c>
      <c r="C867" t="s">
        <v>26</v>
      </c>
      <c r="D867" t="s">
        <v>20</v>
      </c>
      <c r="E867" t="s">
        <v>21</v>
      </c>
      <c r="F867" t="s">
        <v>28</v>
      </c>
      <c r="G867">
        <v>60.95</v>
      </c>
      <c r="H867">
        <v>1</v>
      </c>
      <c r="I867">
        <v>3.0474999999999999</v>
      </c>
      <c r="J867">
        <v>63.997500000000002</v>
      </c>
      <c r="K867" s="1">
        <v>43514</v>
      </c>
      <c r="L867" s="2">
        <v>0.4861111111111111</v>
      </c>
      <c r="M867" t="s">
        <v>23</v>
      </c>
      <c r="N867">
        <v>60.95</v>
      </c>
      <c r="O867">
        <v>4.7619047620000003</v>
      </c>
      <c r="P867">
        <v>3.0474999999999999</v>
      </c>
      <c r="Q867">
        <v>5.9</v>
      </c>
      <c r="R867" s="3">
        <f t="shared" si="40"/>
        <v>43514.486111111109</v>
      </c>
      <c r="S867" t="str">
        <f t="shared" si="42"/>
        <v/>
      </c>
      <c r="T867" t="str">
        <f t="shared" si="41"/>
        <v/>
      </c>
    </row>
    <row r="868" spans="1:20">
      <c r="A868" t="s">
        <v>355</v>
      </c>
      <c r="B868" t="s">
        <v>25</v>
      </c>
      <c r="C868" t="s">
        <v>26</v>
      </c>
      <c r="D868" t="s">
        <v>20</v>
      </c>
      <c r="E868" t="s">
        <v>177</v>
      </c>
      <c r="F868" t="s">
        <v>22</v>
      </c>
      <c r="G868">
        <v>44.07</v>
      </c>
      <c r="H868">
        <v>4</v>
      </c>
      <c r="I868">
        <v>8.8140000000000001</v>
      </c>
      <c r="J868">
        <v>185.09399999999999</v>
      </c>
      <c r="K868" s="1">
        <v>43514</v>
      </c>
      <c r="L868" s="2">
        <v>0.68611111111111112</v>
      </c>
      <c r="M868" t="s">
        <v>23</v>
      </c>
      <c r="N868">
        <v>176.28</v>
      </c>
      <c r="O868">
        <v>4.7619047620000003</v>
      </c>
      <c r="P868">
        <v>8.8140000000000001</v>
      </c>
      <c r="Q868">
        <v>8.4</v>
      </c>
      <c r="R868" s="3">
        <f t="shared" si="40"/>
        <v>43514.686111111114</v>
      </c>
      <c r="S868">
        <f t="shared" si="42"/>
        <v>288.00000000628643</v>
      </c>
      <c r="T868">
        <f t="shared" si="41"/>
        <v>288</v>
      </c>
    </row>
    <row r="869" spans="1:20">
      <c r="A869" t="s">
        <v>170</v>
      </c>
      <c r="B869" t="s">
        <v>25</v>
      </c>
      <c r="C869" t="s">
        <v>26</v>
      </c>
      <c r="D869" t="s">
        <v>27</v>
      </c>
      <c r="E869" t="s">
        <v>21</v>
      </c>
      <c r="F869" t="s">
        <v>45</v>
      </c>
      <c r="G869">
        <v>90.22</v>
      </c>
      <c r="H869">
        <v>3</v>
      </c>
      <c r="I869">
        <v>13.532999999999999</v>
      </c>
      <c r="J869">
        <v>284.19299999999998</v>
      </c>
      <c r="K869" s="1">
        <v>43514</v>
      </c>
      <c r="L869" s="2">
        <v>0.81874999999999998</v>
      </c>
      <c r="M869" t="s">
        <v>29</v>
      </c>
      <c r="N869">
        <v>270.66000000000003</v>
      </c>
      <c r="O869">
        <v>4.7619047620000003</v>
      </c>
      <c r="P869">
        <v>13.532999999999999</v>
      </c>
      <c r="Q869">
        <v>6.2</v>
      </c>
      <c r="R869" s="3">
        <f t="shared" si="40"/>
        <v>43514.818749999999</v>
      </c>
      <c r="S869">
        <f t="shared" si="42"/>
        <v>190.9999999939464</v>
      </c>
      <c r="T869">
        <f t="shared" si="41"/>
        <v>191</v>
      </c>
    </row>
    <row r="870" spans="1:20" hidden="1">
      <c r="A870" t="s">
        <v>822</v>
      </c>
      <c r="B870" t="s">
        <v>25</v>
      </c>
      <c r="C870" t="s">
        <v>26</v>
      </c>
      <c r="D870" t="s">
        <v>27</v>
      </c>
      <c r="E870" t="s">
        <v>177</v>
      </c>
      <c r="F870" t="s">
        <v>28</v>
      </c>
      <c r="G870">
        <v>71.89</v>
      </c>
      <c r="H870">
        <v>8</v>
      </c>
      <c r="I870">
        <v>28.756</v>
      </c>
      <c r="J870">
        <v>603.87599999999998</v>
      </c>
      <c r="K870" s="1">
        <v>43515</v>
      </c>
      <c r="L870" s="2">
        <v>0.48125000000000001</v>
      </c>
      <c r="M870" t="s">
        <v>23</v>
      </c>
      <c r="N870">
        <v>575.12</v>
      </c>
      <c r="O870">
        <v>4.7619047620000003</v>
      </c>
      <c r="P870">
        <v>28.756</v>
      </c>
      <c r="Q870">
        <v>5.5</v>
      </c>
      <c r="R870" s="3">
        <f t="shared" si="40"/>
        <v>43515.481249999997</v>
      </c>
      <c r="S870" t="str">
        <f t="shared" si="42"/>
        <v/>
      </c>
      <c r="T870" t="str">
        <f t="shared" si="41"/>
        <v/>
      </c>
    </row>
    <row r="871" spans="1:20">
      <c r="A871" t="s">
        <v>748</v>
      </c>
      <c r="B871" t="s">
        <v>25</v>
      </c>
      <c r="C871" t="s">
        <v>26</v>
      </c>
      <c r="D871" t="s">
        <v>27</v>
      </c>
      <c r="E871" t="s">
        <v>21</v>
      </c>
      <c r="F871" t="s">
        <v>28</v>
      </c>
      <c r="G871">
        <v>77.63</v>
      </c>
      <c r="H871">
        <v>9</v>
      </c>
      <c r="I871">
        <v>34.933500000000002</v>
      </c>
      <c r="J871">
        <v>733.60350000000005</v>
      </c>
      <c r="K871" s="1">
        <v>43515</v>
      </c>
      <c r="L871" s="2">
        <v>0.63472222222222219</v>
      </c>
      <c r="M871" t="s">
        <v>23</v>
      </c>
      <c r="N871">
        <v>698.67</v>
      </c>
      <c r="O871">
        <v>4.7619047620000003</v>
      </c>
      <c r="P871">
        <v>34.933500000000002</v>
      </c>
      <c r="Q871">
        <v>7.2</v>
      </c>
      <c r="R871" s="3">
        <f t="shared" si="40"/>
        <v>43515.634722222225</v>
      </c>
      <c r="S871">
        <f t="shared" si="42"/>
        <v>221.00000000791624</v>
      </c>
      <c r="T871">
        <f t="shared" si="41"/>
        <v>221</v>
      </c>
    </row>
    <row r="872" spans="1:20">
      <c r="A872" t="s">
        <v>400</v>
      </c>
      <c r="B872" t="s">
        <v>25</v>
      </c>
      <c r="C872" t="s">
        <v>26</v>
      </c>
      <c r="D872" t="s">
        <v>27</v>
      </c>
      <c r="E872" t="s">
        <v>21</v>
      </c>
      <c r="F872" t="s">
        <v>43</v>
      </c>
      <c r="G872">
        <v>41.24</v>
      </c>
      <c r="H872">
        <v>4</v>
      </c>
      <c r="I872">
        <v>8.2479999999999993</v>
      </c>
      <c r="J872">
        <v>173.208</v>
      </c>
      <c r="K872" s="1">
        <v>43515</v>
      </c>
      <c r="L872" s="2">
        <v>0.68263888888888891</v>
      </c>
      <c r="M872" t="s">
        <v>29</v>
      </c>
      <c r="N872">
        <v>164.96</v>
      </c>
      <c r="O872">
        <v>4.7619047620000003</v>
      </c>
      <c r="P872">
        <v>8.2479999999999993</v>
      </c>
      <c r="Q872">
        <v>7.1</v>
      </c>
      <c r="R872" s="3">
        <f t="shared" si="40"/>
        <v>43515.682638888888</v>
      </c>
      <c r="S872">
        <f t="shared" si="42"/>
        <v>68.999999994412065</v>
      </c>
      <c r="T872">
        <f t="shared" si="41"/>
        <v>69</v>
      </c>
    </row>
    <row r="873" spans="1:20">
      <c r="A873" t="s">
        <v>816</v>
      </c>
      <c r="B873" t="s">
        <v>25</v>
      </c>
      <c r="C873" t="s">
        <v>26</v>
      </c>
      <c r="D873" t="s">
        <v>27</v>
      </c>
      <c r="E873" t="s">
        <v>177</v>
      </c>
      <c r="F873" t="s">
        <v>22</v>
      </c>
      <c r="G873">
        <v>21.8</v>
      </c>
      <c r="H873">
        <v>8</v>
      </c>
      <c r="I873">
        <v>8.7200000000000006</v>
      </c>
      <c r="J873">
        <v>183.12</v>
      </c>
      <c r="K873" s="1">
        <v>43515</v>
      </c>
      <c r="L873" s="2">
        <v>0.80833333333333335</v>
      </c>
      <c r="M873" t="s">
        <v>29</v>
      </c>
      <c r="N873">
        <v>174.4</v>
      </c>
      <c r="O873">
        <v>4.7619047620000003</v>
      </c>
      <c r="P873">
        <v>8.7200000000000006</v>
      </c>
      <c r="Q873">
        <v>8.3000000000000007</v>
      </c>
      <c r="R873" s="3">
        <f t="shared" si="40"/>
        <v>43515.808333333334</v>
      </c>
      <c r="S873">
        <f t="shared" si="42"/>
        <v>181.00000000325963</v>
      </c>
      <c r="T873">
        <f t="shared" si="41"/>
        <v>181</v>
      </c>
    </row>
    <row r="874" spans="1:20" hidden="1">
      <c r="A874" t="s">
        <v>896</v>
      </c>
      <c r="B874" t="s">
        <v>25</v>
      </c>
      <c r="C874" t="s">
        <v>26</v>
      </c>
      <c r="D874" t="s">
        <v>20</v>
      </c>
      <c r="E874" t="s">
        <v>21</v>
      </c>
      <c r="F874" t="s">
        <v>31</v>
      </c>
      <c r="G874">
        <v>86.27</v>
      </c>
      <c r="H874">
        <v>1</v>
      </c>
      <c r="I874">
        <v>4.3135000000000003</v>
      </c>
      <c r="J874">
        <v>90.583500000000001</v>
      </c>
      <c r="K874" s="1">
        <v>43516</v>
      </c>
      <c r="L874" s="2">
        <v>0.55833333333333335</v>
      </c>
      <c r="M874" t="s">
        <v>23</v>
      </c>
      <c r="N874">
        <v>86.27</v>
      </c>
      <c r="O874">
        <v>4.7619047620000003</v>
      </c>
      <c r="P874">
        <v>4.3135000000000003</v>
      </c>
      <c r="Q874">
        <v>7</v>
      </c>
      <c r="R874" s="3">
        <f t="shared" si="40"/>
        <v>43516.558333333334</v>
      </c>
      <c r="S874" t="str">
        <f t="shared" si="42"/>
        <v/>
      </c>
      <c r="T874" t="str">
        <f t="shared" si="41"/>
        <v/>
      </c>
    </row>
    <row r="875" spans="1:20" hidden="1">
      <c r="A875" t="s">
        <v>926</v>
      </c>
      <c r="B875" t="s">
        <v>25</v>
      </c>
      <c r="C875" t="s">
        <v>26</v>
      </c>
      <c r="D875" t="s">
        <v>27</v>
      </c>
      <c r="E875" t="s">
        <v>21</v>
      </c>
      <c r="F875" t="s">
        <v>22</v>
      </c>
      <c r="G875">
        <v>83.66</v>
      </c>
      <c r="H875">
        <v>5</v>
      </c>
      <c r="I875">
        <v>20.914999999999999</v>
      </c>
      <c r="J875">
        <v>439.21499999999997</v>
      </c>
      <c r="K875" s="1">
        <v>43517</v>
      </c>
      <c r="L875" s="2">
        <v>0.43472222222222223</v>
      </c>
      <c r="M875" t="s">
        <v>29</v>
      </c>
      <c r="N875">
        <v>418.3</v>
      </c>
      <c r="O875">
        <v>4.7619047620000003</v>
      </c>
      <c r="P875">
        <v>20.914999999999999</v>
      </c>
      <c r="Q875">
        <v>7.2</v>
      </c>
      <c r="R875" s="3">
        <f t="shared" si="40"/>
        <v>43517.43472222222</v>
      </c>
      <c r="S875" t="str">
        <f t="shared" si="42"/>
        <v/>
      </c>
      <c r="T875" t="str">
        <f t="shared" si="41"/>
        <v/>
      </c>
    </row>
    <row r="876" spans="1:20">
      <c r="A876" t="s">
        <v>700</v>
      </c>
      <c r="B876" t="s">
        <v>25</v>
      </c>
      <c r="C876" t="s">
        <v>26</v>
      </c>
      <c r="D876" t="s">
        <v>27</v>
      </c>
      <c r="E876" t="s">
        <v>21</v>
      </c>
      <c r="F876" t="s">
        <v>35</v>
      </c>
      <c r="G876">
        <v>98.8</v>
      </c>
      <c r="H876">
        <v>2</v>
      </c>
      <c r="I876">
        <v>9.8800000000000008</v>
      </c>
      <c r="J876">
        <v>207.48</v>
      </c>
      <c r="K876" s="1">
        <v>43517</v>
      </c>
      <c r="L876" s="2">
        <v>0.48541666666666666</v>
      </c>
      <c r="M876" t="s">
        <v>29</v>
      </c>
      <c r="N876">
        <v>197.6</v>
      </c>
      <c r="O876">
        <v>4.7619047620000003</v>
      </c>
      <c r="P876">
        <v>9.8800000000000008</v>
      </c>
      <c r="Q876">
        <v>7.7</v>
      </c>
      <c r="R876" s="3">
        <f t="shared" si="40"/>
        <v>43517.48541666667</v>
      </c>
      <c r="S876">
        <f t="shared" si="42"/>
        <v>73.000000007450581</v>
      </c>
      <c r="T876">
        <f t="shared" si="41"/>
        <v>73</v>
      </c>
    </row>
    <row r="877" spans="1:20">
      <c r="A877" t="s">
        <v>259</v>
      </c>
      <c r="B877" t="s">
        <v>25</v>
      </c>
      <c r="C877" t="s">
        <v>26</v>
      </c>
      <c r="D877" t="s">
        <v>20</v>
      </c>
      <c r="E877" t="s">
        <v>21</v>
      </c>
      <c r="F877" t="s">
        <v>45</v>
      </c>
      <c r="G877">
        <v>12.54</v>
      </c>
      <c r="H877">
        <v>1</v>
      </c>
      <c r="I877">
        <v>0.627</v>
      </c>
      <c r="J877">
        <v>13.167</v>
      </c>
      <c r="K877" s="1">
        <v>43517</v>
      </c>
      <c r="L877" s="2">
        <v>0.52638888888888891</v>
      </c>
      <c r="M877" t="s">
        <v>29</v>
      </c>
      <c r="N877">
        <v>12.54</v>
      </c>
      <c r="O877">
        <v>4.7619047620000003</v>
      </c>
      <c r="P877">
        <v>0.627</v>
      </c>
      <c r="Q877">
        <v>8.1999999999999993</v>
      </c>
      <c r="R877" s="3">
        <f t="shared" si="40"/>
        <v>43517.526388888888</v>
      </c>
      <c r="S877">
        <f t="shared" si="42"/>
        <v>58.999999993247911</v>
      </c>
      <c r="T877">
        <f t="shared" si="41"/>
        <v>59</v>
      </c>
    </row>
    <row r="878" spans="1:20" hidden="1">
      <c r="A878" t="s">
        <v>179</v>
      </c>
      <c r="B878" t="s">
        <v>25</v>
      </c>
      <c r="C878" t="s">
        <v>26</v>
      </c>
      <c r="D878" t="s">
        <v>20</v>
      </c>
      <c r="E878" t="s">
        <v>21</v>
      </c>
      <c r="F878" t="s">
        <v>43</v>
      </c>
      <c r="G878">
        <v>30.41</v>
      </c>
      <c r="H878">
        <v>1</v>
      </c>
      <c r="I878">
        <v>1.5205</v>
      </c>
      <c r="J878">
        <v>31.930499999999999</v>
      </c>
      <c r="K878" s="1">
        <v>43518</v>
      </c>
      <c r="L878" s="2">
        <v>0.44166666666666665</v>
      </c>
      <c r="M878" t="s">
        <v>32</v>
      </c>
      <c r="N878">
        <v>30.41</v>
      </c>
      <c r="O878">
        <v>4.7619047620000003</v>
      </c>
      <c r="P878">
        <v>1.5205</v>
      </c>
      <c r="Q878">
        <v>8.4</v>
      </c>
      <c r="R878" s="3">
        <f t="shared" si="40"/>
        <v>43518.441666666666</v>
      </c>
      <c r="S878" t="str">
        <f t="shared" si="42"/>
        <v/>
      </c>
      <c r="T878" t="str">
        <f t="shared" si="41"/>
        <v/>
      </c>
    </row>
    <row r="879" spans="1:20">
      <c r="A879" t="s">
        <v>958</v>
      </c>
      <c r="B879" t="s">
        <v>25</v>
      </c>
      <c r="C879" t="s">
        <v>26</v>
      </c>
      <c r="D879" t="s">
        <v>20</v>
      </c>
      <c r="E879" t="s">
        <v>21</v>
      </c>
      <c r="F879" t="s">
        <v>31</v>
      </c>
      <c r="G879">
        <v>12.73</v>
      </c>
      <c r="H879">
        <v>2</v>
      </c>
      <c r="I879">
        <v>1.2729999999999999</v>
      </c>
      <c r="J879">
        <v>26.733000000000001</v>
      </c>
      <c r="K879" s="1">
        <v>43518</v>
      </c>
      <c r="L879" s="2">
        <v>0.50694444444444442</v>
      </c>
      <c r="M879" t="s">
        <v>32</v>
      </c>
      <c r="N879">
        <v>25.46</v>
      </c>
      <c r="O879">
        <v>4.7619047620000003</v>
      </c>
      <c r="P879">
        <v>1.2729999999999999</v>
      </c>
      <c r="Q879">
        <v>5.2</v>
      </c>
      <c r="R879" s="3">
        <f t="shared" si="40"/>
        <v>43518.506944444445</v>
      </c>
      <c r="S879">
        <f t="shared" si="42"/>
        <v>94.000000002561137</v>
      </c>
      <c r="T879">
        <f t="shared" si="41"/>
        <v>94</v>
      </c>
    </row>
    <row r="880" spans="1:20">
      <c r="A880" t="s">
        <v>413</v>
      </c>
      <c r="B880" t="s">
        <v>25</v>
      </c>
      <c r="C880" t="s">
        <v>26</v>
      </c>
      <c r="D880" t="s">
        <v>27</v>
      </c>
      <c r="E880" t="s">
        <v>177</v>
      </c>
      <c r="F880" t="s">
        <v>35</v>
      </c>
      <c r="G880">
        <v>95.49</v>
      </c>
      <c r="H880">
        <v>7</v>
      </c>
      <c r="I880">
        <v>33.421500000000002</v>
      </c>
      <c r="J880">
        <v>701.85149999999999</v>
      </c>
      <c r="K880" s="1">
        <v>43518</v>
      </c>
      <c r="L880" s="2">
        <v>0.76180555555555551</v>
      </c>
      <c r="M880" t="s">
        <v>23</v>
      </c>
      <c r="N880">
        <v>668.43</v>
      </c>
      <c r="O880">
        <v>4.7619047620000003</v>
      </c>
      <c r="P880">
        <v>33.421500000000002</v>
      </c>
      <c r="Q880">
        <v>8.6999999999999993</v>
      </c>
      <c r="R880" s="3">
        <f t="shared" si="40"/>
        <v>43518.761805555558</v>
      </c>
      <c r="S880">
        <f t="shared" si="42"/>
        <v>367.00000000186265</v>
      </c>
      <c r="T880">
        <f t="shared" si="41"/>
        <v>367</v>
      </c>
    </row>
    <row r="881" spans="1:20" hidden="1">
      <c r="A881" t="s">
        <v>495</v>
      </c>
      <c r="B881" t="s">
        <v>25</v>
      </c>
      <c r="C881" t="s">
        <v>26</v>
      </c>
      <c r="D881" t="s">
        <v>27</v>
      </c>
      <c r="E881" t="s">
        <v>177</v>
      </c>
      <c r="F881" t="s">
        <v>43</v>
      </c>
      <c r="G881">
        <v>35.89</v>
      </c>
      <c r="H881">
        <v>1</v>
      </c>
      <c r="I881">
        <v>1.7945</v>
      </c>
      <c r="J881">
        <v>37.6845</v>
      </c>
      <c r="K881" s="1">
        <v>43519</v>
      </c>
      <c r="L881" s="2">
        <v>0.70277777777777772</v>
      </c>
      <c r="M881" t="s">
        <v>32</v>
      </c>
      <c r="N881">
        <v>35.89</v>
      </c>
      <c r="O881">
        <v>4.7619047620000003</v>
      </c>
      <c r="P881">
        <v>1.7945</v>
      </c>
      <c r="Q881">
        <v>7.9</v>
      </c>
      <c r="R881" s="3">
        <f t="shared" si="40"/>
        <v>43519.702777777777</v>
      </c>
      <c r="S881" t="str">
        <f t="shared" si="42"/>
        <v/>
      </c>
      <c r="T881" t="str">
        <f t="shared" si="41"/>
        <v/>
      </c>
    </row>
    <row r="882" spans="1:20">
      <c r="A882" t="s">
        <v>118</v>
      </c>
      <c r="B882" t="s">
        <v>25</v>
      </c>
      <c r="C882" t="s">
        <v>26</v>
      </c>
      <c r="D882" t="s">
        <v>20</v>
      </c>
      <c r="E882" t="s">
        <v>21</v>
      </c>
      <c r="F882" t="s">
        <v>43</v>
      </c>
      <c r="G882">
        <v>80.36</v>
      </c>
      <c r="H882">
        <v>4</v>
      </c>
      <c r="I882">
        <v>16.071999999999999</v>
      </c>
      <c r="J882">
        <v>337.512</v>
      </c>
      <c r="K882" s="1">
        <v>43519</v>
      </c>
      <c r="L882" s="2">
        <v>0.78125</v>
      </c>
      <c r="M882" t="s">
        <v>32</v>
      </c>
      <c r="N882">
        <v>321.44</v>
      </c>
      <c r="O882">
        <v>4.7619047620000003</v>
      </c>
      <c r="P882">
        <v>16.071999999999999</v>
      </c>
      <c r="Q882">
        <v>8.3000000000000007</v>
      </c>
      <c r="R882" s="3">
        <f t="shared" si="40"/>
        <v>43519.78125</v>
      </c>
      <c r="S882">
        <f t="shared" si="42"/>
        <v>113.00000000162981</v>
      </c>
      <c r="T882">
        <f t="shared" si="41"/>
        <v>113</v>
      </c>
    </row>
    <row r="883" spans="1:20">
      <c r="A883" t="s">
        <v>550</v>
      </c>
      <c r="B883" t="s">
        <v>25</v>
      </c>
      <c r="C883" t="s">
        <v>26</v>
      </c>
      <c r="D883" t="s">
        <v>20</v>
      </c>
      <c r="E883" t="s">
        <v>177</v>
      </c>
      <c r="F883" t="s">
        <v>35</v>
      </c>
      <c r="G883">
        <v>58.39</v>
      </c>
      <c r="H883">
        <v>7</v>
      </c>
      <c r="I883">
        <v>20.436499999999999</v>
      </c>
      <c r="J883">
        <v>429.16649999999998</v>
      </c>
      <c r="K883" s="1">
        <v>43519</v>
      </c>
      <c r="L883" s="2">
        <v>0.8256944444444444</v>
      </c>
      <c r="M883" t="s">
        <v>32</v>
      </c>
      <c r="N883">
        <v>408.73</v>
      </c>
      <c r="O883">
        <v>4.7619047620000003</v>
      </c>
      <c r="P883">
        <v>20.436499999999999</v>
      </c>
      <c r="Q883">
        <v>8.1999999999999993</v>
      </c>
      <c r="R883" s="3">
        <f t="shared" si="40"/>
        <v>43519.825694444444</v>
      </c>
      <c r="S883">
        <f t="shared" si="42"/>
        <v>63.999999999068677</v>
      </c>
      <c r="T883">
        <f t="shared" si="41"/>
        <v>64</v>
      </c>
    </row>
    <row r="884" spans="1:20" hidden="1">
      <c r="A884" t="s">
        <v>96</v>
      </c>
      <c r="B884" t="s">
        <v>25</v>
      </c>
      <c r="C884" t="s">
        <v>26</v>
      </c>
      <c r="D884" t="s">
        <v>20</v>
      </c>
      <c r="E884" t="s">
        <v>21</v>
      </c>
      <c r="F884" t="s">
        <v>31</v>
      </c>
      <c r="G884">
        <v>55.73</v>
      </c>
      <c r="H884">
        <v>6</v>
      </c>
      <c r="I884">
        <v>16.719000000000001</v>
      </c>
      <c r="J884">
        <v>351.09899999999999</v>
      </c>
      <c r="K884" s="1">
        <v>43520</v>
      </c>
      <c r="L884" s="2">
        <v>0.4548611111111111</v>
      </c>
      <c r="M884" t="s">
        <v>23</v>
      </c>
      <c r="N884">
        <v>334.38</v>
      </c>
      <c r="O884">
        <v>4.7619047620000003</v>
      </c>
      <c r="P884">
        <v>16.719000000000001</v>
      </c>
      <c r="Q884">
        <v>7</v>
      </c>
      <c r="R884" s="3">
        <f t="shared" si="40"/>
        <v>43520.454861111109</v>
      </c>
      <c r="S884" t="str">
        <f t="shared" si="42"/>
        <v/>
      </c>
      <c r="T884" t="str">
        <f t="shared" si="41"/>
        <v/>
      </c>
    </row>
    <row r="885" spans="1:20">
      <c r="A885" t="s">
        <v>38</v>
      </c>
      <c r="B885" t="s">
        <v>25</v>
      </c>
      <c r="C885" t="s">
        <v>26</v>
      </c>
      <c r="D885" t="s">
        <v>20</v>
      </c>
      <c r="E885" t="s">
        <v>21</v>
      </c>
      <c r="F885" t="s">
        <v>31</v>
      </c>
      <c r="G885">
        <v>73.56</v>
      </c>
      <c r="H885">
        <v>10</v>
      </c>
      <c r="I885">
        <v>36.78</v>
      </c>
      <c r="J885">
        <v>772.38</v>
      </c>
      <c r="K885" s="1">
        <v>43520</v>
      </c>
      <c r="L885" s="2">
        <v>0.48472222222222222</v>
      </c>
      <c r="M885" t="s">
        <v>23</v>
      </c>
      <c r="N885">
        <v>735.6</v>
      </c>
      <c r="O885">
        <v>4.7619047620000003</v>
      </c>
      <c r="P885">
        <v>36.78</v>
      </c>
      <c r="Q885">
        <v>8</v>
      </c>
      <c r="R885" s="3">
        <f t="shared" si="40"/>
        <v>43520.484722222223</v>
      </c>
      <c r="S885">
        <f t="shared" si="42"/>
        <v>43.000000003958121</v>
      </c>
      <c r="T885">
        <f t="shared" si="41"/>
        <v>43</v>
      </c>
    </row>
    <row r="886" spans="1:20">
      <c r="A886" t="s">
        <v>820</v>
      </c>
      <c r="B886" t="s">
        <v>25</v>
      </c>
      <c r="C886" t="s">
        <v>26</v>
      </c>
      <c r="D886" t="s">
        <v>20</v>
      </c>
      <c r="E886" t="s">
        <v>21</v>
      </c>
      <c r="F886" t="s">
        <v>22</v>
      </c>
      <c r="G886">
        <v>10.16</v>
      </c>
      <c r="H886">
        <v>5</v>
      </c>
      <c r="I886">
        <v>2.54</v>
      </c>
      <c r="J886">
        <v>53.34</v>
      </c>
      <c r="K886" s="1">
        <v>43520</v>
      </c>
      <c r="L886" s="2">
        <v>0.54722222222222228</v>
      </c>
      <c r="M886" t="s">
        <v>23</v>
      </c>
      <c r="N886">
        <v>50.8</v>
      </c>
      <c r="O886">
        <v>4.7619047620000003</v>
      </c>
      <c r="P886">
        <v>2.54</v>
      </c>
      <c r="Q886">
        <v>4.0999999999999996</v>
      </c>
      <c r="R886" s="3">
        <f t="shared" si="40"/>
        <v>43520.547222222223</v>
      </c>
      <c r="S886">
        <f t="shared" si="42"/>
        <v>90</v>
      </c>
      <c r="T886">
        <f t="shared" si="41"/>
        <v>90</v>
      </c>
    </row>
    <row r="887" spans="1:20">
      <c r="A887" t="s">
        <v>685</v>
      </c>
      <c r="B887" t="s">
        <v>25</v>
      </c>
      <c r="C887" t="s">
        <v>26</v>
      </c>
      <c r="D887" t="s">
        <v>27</v>
      </c>
      <c r="E887" t="s">
        <v>177</v>
      </c>
      <c r="F887" t="s">
        <v>28</v>
      </c>
      <c r="G887">
        <v>24.74</v>
      </c>
      <c r="H887">
        <v>10</v>
      </c>
      <c r="I887">
        <v>12.37</v>
      </c>
      <c r="J887">
        <v>259.77</v>
      </c>
      <c r="K887" s="1">
        <v>43520</v>
      </c>
      <c r="L887" s="2">
        <v>0.69722222222222219</v>
      </c>
      <c r="M887" t="s">
        <v>29</v>
      </c>
      <c r="N887">
        <v>247.4</v>
      </c>
      <c r="O887">
        <v>4.7619047620000003</v>
      </c>
      <c r="P887">
        <v>12.37</v>
      </c>
      <c r="Q887">
        <v>7.1</v>
      </c>
      <c r="R887" s="3">
        <f t="shared" si="40"/>
        <v>43520.697222222225</v>
      </c>
      <c r="S887">
        <f t="shared" si="42"/>
        <v>216.00000000209548</v>
      </c>
      <c r="T887">
        <f t="shared" si="41"/>
        <v>216</v>
      </c>
    </row>
    <row r="888" spans="1:20" hidden="1">
      <c r="A888" t="s">
        <v>55</v>
      </c>
      <c r="B888" t="s">
        <v>25</v>
      </c>
      <c r="C888" t="s">
        <v>26</v>
      </c>
      <c r="D888" t="s">
        <v>20</v>
      </c>
      <c r="E888" t="s">
        <v>21</v>
      </c>
      <c r="F888" t="s">
        <v>28</v>
      </c>
      <c r="G888">
        <v>86.04</v>
      </c>
      <c r="H888">
        <v>5</v>
      </c>
      <c r="I888">
        <v>21.51</v>
      </c>
      <c r="J888">
        <v>451.71</v>
      </c>
      <c r="K888" s="1">
        <v>43521</v>
      </c>
      <c r="L888" s="2">
        <v>0.47499999999999998</v>
      </c>
      <c r="M888" t="s">
        <v>23</v>
      </c>
      <c r="N888">
        <v>430.2</v>
      </c>
      <c r="O888">
        <v>4.7619047620000003</v>
      </c>
      <c r="P888">
        <v>21.51</v>
      </c>
      <c r="Q888">
        <v>4.8</v>
      </c>
      <c r="R888" s="3">
        <f t="shared" si="40"/>
        <v>43521.474999999999</v>
      </c>
      <c r="S888" t="str">
        <f t="shared" si="42"/>
        <v/>
      </c>
      <c r="T888" t="str">
        <f t="shared" si="41"/>
        <v/>
      </c>
    </row>
    <row r="889" spans="1:20">
      <c r="A889" t="s">
        <v>338</v>
      </c>
      <c r="B889" t="s">
        <v>25</v>
      </c>
      <c r="C889" t="s">
        <v>26</v>
      </c>
      <c r="D889" t="s">
        <v>27</v>
      </c>
      <c r="E889" t="s">
        <v>177</v>
      </c>
      <c r="F889" t="s">
        <v>43</v>
      </c>
      <c r="G889">
        <v>48.61</v>
      </c>
      <c r="H889">
        <v>1</v>
      </c>
      <c r="I889">
        <v>2.4304999999999999</v>
      </c>
      <c r="J889">
        <v>51.040500000000002</v>
      </c>
      <c r="K889" s="1">
        <v>43521</v>
      </c>
      <c r="L889" s="2">
        <v>0.64652777777777781</v>
      </c>
      <c r="M889" t="s">
        <v>29</v>
      </c>
      <c r="N889">
        <v>48.61</v>
      </c>
      <c r="O889">
        <v>4.7619047620000003</v>
      </c>
      <c r="P889">
        <v>2.4304999999999999</v>
      </c>
      <c r="Q889">
        <v>4.4000000000000004</v>
      </c>
      <c r="R889" s="3">
        <f t="shared" si="40"/>
        <v>43521.646527777775</v>
      </c>
      <c r="S889">
        <f t="shared" si="42"/>
        <v>246.99999999837019</v>
      </c>
      <c r="T889">
        <f t="shared" si="41"/>
        <v>247</v>
      </c>
    </row>
    <row r="890" spans="1:20" hidden="1">
      <c r="A890" t="s">
        <v>356</v>
      </c>
      <c r="B890" t="s">
        <v>25</v>
      </c>
      <c r="C890" t="s">
        <v>26</v>
      </c>
      <c r="D890" t="s">
        <v>27</v>
      </c>
      <c r="E890" t="s">
        <v>21</v>
      </c>
      <c r="F890" t="s">
        <v>43</v>
      </c>
      <c r="G890">
        <v>22.93</v>
      </c>
      <c r="H890">
        <v>9</v>
      </c>
      <c r="I890">
        <v>10.3185</v>
      </c>
      <c r="J890">
        <v>216.6885</v>
      </c>
      <c r="K890" s="1">
        <v>43522</v>
      </c>
      <c r="L890" s="2">
        <v>0.85138888888888886</v>
      </c>
      <c r="M890" t="s">
        <v>29</v>
      </c>
      <c r="N890">
        <v>206.37</v>
      </c>
      <c r="O890">
        <v>4.7619047620000003</v>
      </c>
      <c r="P890">
        <v>10.3185</v>
      </c>
      <c r="Q890">
        <v>5.5</v>
      </c>
      <c r="R890" s="3">
        <f t="shared" si="40"/>
        <v>43522.851388888892</v>
      </c>
      <c r="S890" t="str">
        <f t="shared" si="42"/>
        <v/>
      </c>
      <c r="T890" t="str">
        <f t="shared" si="41"/>
        <v/>
      </c>
    </row>
    <row r="891" spans="1:20" hidden="1">
      <c r="A891" t="s">
        <v>692</v>
      </c>
      <c r="B891" t="s">
        <v>25</v>
      </c>
      <c r="C891" t="s">
        <v>26</v>
      </c>
      <c r="D891" t="s">
        <v>27</v>
      </c>
      <c r="E891" t="s">
        <v>21</v>
      </c>
      <c r="F891" t="s">
        <v>28</v>
      </c>
      <c r="G891">
        <v>99.69</v>
      </c>
      <c r="H891">
        <v>1</v>
      </c>
      <c r="I891">
        <v>4.9844999999999997</v>
      </c>
      <c r="J891">
        <v>104.67449999999999</v>
      </c>
      <c r="K891" s="1">
        <v>43523</v>
      </c>
      <c r="L891" s="2">
        <v>0.43263888888888891</v>
      </c>
      <c r="M891" t="s">
        <v>32</v>
      </c>
      <c r="N891">
        <v>99.69</v>
      </c>
      <c r="O891">
        <v>4.7619047620000003</v>
      </c>
      <c r="P891">
        <v>4.9844999999999997</v>
      </c>
      <c r="Q891">
        <v>8</v>
      </c>
      <c r="R891" s="3">
        <f t="shared" si="40"/>
        <v>43523.432638888888</v>
      </c>
      <c r="S891" t="str">
        <f t="shared" si="42"/>
        <v/>
      </c>
      <c r="T891" t="str">
        <f t="shared" si="41"/>
        <v/>
      </c>
    </row>
    <row r="892" spans="1:20">
      <c r="A892" t="s">
        <v>397</v>
      </c>
      <c r="B892" t="s">
        <v>25</v>
      </c>
      <c r="C892" t="s">
        <v>26</v>
      </c>
      <c r="D892" t="s">
        <v>27</v>
      </c>
      <c r="E892" t="s">
        <v>21</v>
      </c>
      <c r="F892" t="s">
        <v>43</v>
      </c>
      <c r="G892">
        <v>94.47</v>
      </c>
      <c r="H892">
        <v>8</v>
      </c>
      <c r="I892">
        <v>37.787999999999997</v>
      </c>
      <c r="J892">
        <v>793.548</v>
      </c>
      <c r="K892" s="1">
        <v>43523</v>
      </c>
      <c r="L892" s="2">
        <v>0.6333333333333333</v>
      </c>
      <c r="M892" t="s">
        <v>29</v>
      </c>
      <c r="N892">
        <v>755.76</v>
      </c>
      <c r="O892">
        <v>4.7619047620000003</v>
      </c>
      <c r="P892">
        <v>37.787999999999997</v>
      </c>
      <c r="Q892">
        <v>9.1</v>
      </c>
      <c r="R892" s="3">
        <f t="shared" si="40"/>
        <v>43523.633333333331</v>
      </c>
      <c r="S892">
        <f t="shared" si="42"/>
        <v>288.99999999906868</v>
      </c>
      <c r="T892">
        <f t="shared" si="41"/>
        <v>289</v>
      </c>
    </row>
    <row r="893" spans="1:20">
      <c r="A893" t="s">
        <v>807</v>
      </c>
      <c r="B893" t="s">
        <v>25</v>
      </c>
      <c r="C893" t="s">
        <v>26</v>
      </c>
      <c r="D893" t="s">
        <v>20</v>
      </c>
      <c r="E893" t="s">
        <v>21</v>
      </c>
      <c r="F893" t="s">
        <v>22</v>
      </c>
      <c r="G893">
        <v>85.87</v>
      </c>
      <c r="H893">
        <v>7</v>
      </c>
      <c r="I893">
        <v>30.054500000000001</v>
      </c>
      <c r="J893">
        <v>631.14449999999999</v>
      </c>
      <c r="K893" s="1">
        <v>43523</v>
      </c>
      <c r="L893" s="2">
        <v>0.79236111111111107</v>
      </c>
      <c r="M893" t="s">
        <v>32</v>
      </c>
      <c r="N893">
        <v>601.09</v>
      </c>
      <c r="O893">
        <v>4.7619047620000003</v>
      </c>
      <c r="P893">
        <v>30.054500000000001</v>
      </c>
      <c r="Q893">
        <v>8</v>
      </c>
      <c r="R893" s="3">
        <f t="shared" si="40"/>
        <v>43523.792361111111</v>
      </c>
      <c r="S893">
        <f t="shared" si="42"/>
        <v>229.00000000256114</v>
      </c>
      <c r="T893">
        <f t="shared" si="41"/>
        <v>229</v>
      </c>
    </row>
    <row r="894" spans="1:20" hidden="1">
      <c r="A894" t="s">
        <v>278</v>
      </c>
      <c r="B894" t="s">
        <v>25</v>
      </c>
      <c r="C894" t="s">
        <v>26</v>
      </c>
      <c r="D894" t="s">
        <v>20</v>
      </c>
      <c r="E894" t="s">
        <v>177</v>
      </c>
      <c r="F894" t="s">
        <v>45</v>
      </c>
      <c r="G894">
        <v>93.2</v>
      </c>
      <c r="H894">
        <v>2</v>
      </c>
      <c r="I894">
        <v>9.32</v>
      </c>
      <c r="J894">
        <v>195.72</v>
      </c>
      <c r="K894" s="1">
        <v>43524</v>
      </c>
      <c r="L894" s="2">
        <v>0.77569444444444446</v>
      </c>
      <c r="M894" t="s">
        <v>32</v>
      </c>
      <c r="N894">
        <v>186.4</v>
      </c>
      <c r="O894">
        <v>4.7619047620000003</v>
      </c>
      <c r="P894">
        <v>9.32</v>
      </c>
      <c r="Q894">
        <v>6</v>
      </c>
      <c r="R894" s="3">
        <f t="shared" si="40"/>
        <v>43524.775694444441</v>
      </c>
      <c r="S894" t="str">
        <f t="shared" si="42"/>
        <v/>
      </c>
      <c r="T894" t="str">
        <f t="shared" si="41"/>
        <v/>
      </c>
    </row>
    <row r="895" spans="1:20">
      <c r="A895" t="s">
        <v>90</v>
      </c>
      <c r="B895" t="s">
        <v>25</v>
      </c>
      <c r="C895" t="s">
        <v>26</v>
      </c>
      <c r="D895" t="s">
        <v>20</v>
      </c>
      <c r="E895" t="s">
        <v>21</v>
      </c>
      <c r="F895" t="s">
        <v>28</v>
      </c>
      <c r="G895">
        <v>85.98</v>
      </c>
      <c r="H895">
        <v>8</v>
      </c>
      <c r="I895">
        <v>34.392000000000003</v>
      </c>
      <c r="J895">
        <v>722.23199999999997</v>
      </c>
      <c r="K895" s="1">
        <v>43524</v>
      </c>
      <c r="L895" s="2">
        <v>0.79236111111111107</v>
      </c>
      <c r="M895" t="s">
        <v>29</v>
      </c>
      <c r="N895">
        <v>687.84</v>
      </c>
      <c r="O895">
        <v>4.7619047620000003</v>
      </c>
      <c r="P895">
        <v>34.392000000000003</v>
      </c>
      <c r="Q895">
        <v>8.1999999999999993</v>
      </c>
      <c r="R895" s="3">
        <f t="shared" si="40"/>
        <v>43524.792361111111</v>
      </c>
      <c r="S895">
        <f t="shared" si="42"/>
        <v>24.000000004889444</v>
      </c>
      <c r="T895">
        <f t="shared" si="41"/>
        <v>24</v>
      </c>
    </row>
    <row r="896" spans="1:20" hidden="1">
      <c r="A896" t="s">
        <v>136</v>
      </c>
      <c r="B896" t="s">
        <v>25</v>
      </c>
      <c r="C896" t="s">
        <v>26</v>
      </c>
      <c r="D896" t="s">
        <v>20</v>
      </c>
      <c r="E896" t="s">
        <v>21</v>
      </c>
      <c r="F896" t="s">
        <v>45</v>
      </c>
      <c r="G896">
        <v>78.55</v>
      </c>
      <c r="H896">
        <v>9</v>
      </c>
      <c r="I896">
        <v>35.347499999999997</v>
      </c>
      <c r="J896">
        <v>742.29750000000001</v>
      </c>
      <c r="K896" s="1">
        <v>43525</v>
      </c>
      <c r="L896" s="2">
        <v>0.55694444444444446</v>
      </c>
      <c r="M896" t="s">
        <v>29</v>
      </c>
      <c r="N896">
        <v>706.95</v>
      </c>
      <c r="O896">
        <v>4.7619047620000003</v>
      </c>
      <c r="P896">
        <v>35.347499999999997</v>
      </c>
      <c r="Q896">
        <v>7.2</v>
      </c>
      <c r="R896" s="3">
        <f t="shared" si="40"/>
        <v>43525.556944444441</v>
      </c>
      <c r="S896" t="str">
        <f t="shared" si="42"/>
        <v/>
      </c>
      <c r="T896" t="str">
        <f t="shared" si="41"/>
        <v/>
      </c>
    </row>
    <row r="897" spans="1:20">
      <c r="A897" t="s">
        <v>419</v>
      </c>
      <c r="B897" t="s">
        <v>25</v>
      </c>
      <c r="C897" t="s">
        <v>26</v>
      </c>
      <c r="D897" t="s">
        <v>20</v>
      </c>
      <c r="E897" t="s">
        <v>21</v>
      </c>
      <c r="F897" t="s">
        <v>43</v>
      </c>
      <c r="G897">
        <v>74.89</v>
      </c>
      <c r="H897">
        <v>4</v>
      </c>
      <c r="I897">
        <v>14.978</v>
      </c>
      <c r="J897">
        <v>314.53800000000001</v>
      </c>
      <c r="K897" s="1">
        <v>43525</v>
      </c>
      <c r="L897" s="2">
        <v>0.64722222222222225</v>
      </c>
      <c r="M897" t="s">
        <v>23</v>
      </c>
      <c r="N897">
        <v>299.56</v>
      </c>
      <c r="O897">
        <v>4.7619047620000003</v>
      </c>
      <c r="P897">
        <v>14.978</v>
      </c>
      <c r="Q897">
        <v>4.2</v>
      </c>
      <c r="R897" s="3">
        <f t="shared" si="40"/>
        <v>43525.647222222222</v>
      </c>
      <c r="S897">
        <f t="shared" si="42"/>
        <v>130.00000000465661</v>
      </c>
      <c r="T897">
        <f t="shared" si="41"/>
        <v>130</v>
      </c>
    </row>
    <row r="898" spans="1:20" hidden="1">
      <c r="A898" t="s">
        <v>501</v>
      </c>
      <c r="B898" t="s">
        <v>25</v>
      </c>
      <c r="C898" t="s">
        <v>26</v>
      </c>
      <c r="D898" t="s">
        <v>20</v>
      </c>
      <c r="E898" t="s">
        <v>21</v>
      </c>
      <c r="F898" t="s">
        <v>35</v>
      </c>
      <c r="G898">
        <v>54.55</v>
      </c>
      <c r="H898">
        <v>10</v>
      </c>
      <c r="I898">
        <v>27.274999999999999</v>
      </c>
      <c r="J898">
        <v>572.77499999999998</v>
      </c>
      <c r="K898" s="1">
        <v>43526</v>
      </c>
      <c r="L898" s="2">
        <v>0.47361111111111109</v>
      </c>
      <c r="M898" t="s">
        <v>32</v>
      </c>
      <c r="N898">
        <v>545.5</v>
      </c>
      <c r="O898">
        <v>4.7619047620000003</v>
      </c>
      <c r="P898">
        <v>27.274999999999999</v>
      </c>
      <c r="Q898">
        <v>7.1</v>
      </c>
      <c r="R898" s="3">
        <f t="shared" ref="R898:R961" si="43">K898+L898</f>
        <v>43526.473611111112</v>
      </c>
      <c r="S898" t="str">
        <f t="shared" si="42"/>
        <v/>
      </c>
      <c r="T898" t="str">
        <f t="shared" si="41"/>
        <v/>
      </c>
    </row>
    <row r="899" spans="1:20">
      <c r="A899" t="s">
        <v>150</v>
      </c>
      <c r="B899" t="s">
        <v>25</v>
      </c>
      <c r="C899" t="s">
        <v>26</v>
      </c>
      <c r="D899" t="s">
        <v>20</v>
      </c>
      <c r="E899" t="s">
        <v>21</v>
      </c>
      <c r="F899" t="s">
        <v>45</v>
      </c>
      <c r="G899">
        <v>27.02</v>
      </c>
      <c r="H899">
        <v>3</v>
      </c>
      <c r="I899">
        <v>4.0529999999999999</v>
      </c>
      <c r="J899">
        <v>85.113</v>
      </c>
      <c r="K899" s="1">
        <v>43526</v>
      </c>
      <c r="L899" s="2">
        <v>0.54236111111111107</v>
      </c>
      <c r="M899" t="s">
        <v>32</v>
      </c>
      <c r="N899">
        <v>81.06</v>
      </c>
      <c r="O899">
        <v>4.7619047620000003</v>
      </c>
      <c r="P899">
        <v>4.0529999999999999</v>
      </c>
      <c r="Q899">
        <v>7.1</v>
      </c>
      <c r="R899" s="3">
        <f t="shared" si="43"/>
        <v>43526.542361111111</v>
      </c>
      <c r="S899">
        <f t="shared" si="42"/>
        <v>98.999999997904524</v>
      </c>
      <c r="T899">
        <f t="shared" ref="T899:T962" si="44">IF(S899="","",ROUND(S899,2))</f>
        <v>99</v>
      </c>
    </row>
    <row r="900" spans="1:20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s="3">
        <f t="shared" si="43"/>
        <v>43526.576388888891</v>
      </c>
      <c r="S900">
        <f t="shared" si="42"/>
        <v>49.000000002561137</v>
      </c>
      <c r="T900">
        <f t="shared" si="44"/>
        <v>49</v>
      </c>
    </row>
    <row r="901" spans="1:20">
      <c r="A901" t="s">
        <v>928</v>
      </c>
      <c r="B901" t="s">
        <v>25</v>
      </c>
      <c r="C901" t="s">
        <v>26</v>
      </c>
      <c r="D901" t="s">
        <v>20</v>
      </c>
      <c r="E901" t="s">
        <v>21</v>
      </c>
      <c r="F901" t="s">
        <v>45</v>
      </c>
      <c r="G901">
        <v>92.49</v>
      </c>
      <c r="H901">
        <v>5</v>
      </c>
      <c r="I901">
        <v>23.122499999999999</v>
      </c>
      <c r="J901">
        <v>485.57249999999999</v>
      </c>
      <c r="K901" s="1">
        <v>43526</v>
      </c>
      <c r="L901" s="2">
        <v>0.69097222222222221</v>
      </c>
      <c r="M901" t="s">
        <v>32</v>
      </c>
      <c r="N901">
        <v>462.45</v>
      </c>
      <c r="O901">
        <v>4.7619047620000003</v>
      </c>
      <c r="P901">
        <v>23.122499999999999</v>
      </c>
      <c r="Q901">
        <v>8.6</v>
      </c>
      <c r="R901" s="3">
        <f t="shared" si="43"/>
        <v>43526.690972222219</v>
      </c>
      <c r="S901">
        <f t="shared" si="42"/>
        <v>164.99999999301508</v>
      </c>
      <c r="T901">
        <f t="shared" si="44"/>
        <v>165</v>
      </c>
    </row>
    <row r="902" spans="1:20">
      <c r="A902" t="s">
        <v>605</v>
      </c>
      <c r="B902" t="s">
        <v>25</v>
      </c>
      <c r="C902" t="s">
        <v>26</v>
      </c>
      <c r="D902" t="s">
        <v>27</v>
      </c>
      <c r="E902" t="s">
        <v>21</v>
      </c>
      <c r="F902" t="s">
        <v>35</v>
      </c>
      <c r="G902">
        <v>73.98</v>
      </c>
      <c r="H902">
        <v>7</v>
      </c>
      <c r="I902">
        <v>25.893000000000001</v>
      </c>
      <c r="J902">
        <v>543.75300000000004</v>
      </c>
      <c r="K902" s="1">
        <v>43526</v>
      </c>
      <c r="L902" s="2">
        <v>0.6958333333333333</v>
      </c>
      <c r="M902" t="s">
        <v>23</v>
      </c>
      <c r="N902">
        <v>517.86</v>
      </c>
      <c r="O902">
        <v>4.7619047620000003</v>
      </c>
      <c r="P902">
        <v>25.893000000000001</v>
      </c>
      <c r="Q902">
        <v>4.0999999999999996</v>
      </c>
      <c r="R902" s="3">
        <f t="shared" si="43"/>
        <v>43526.695833333331</v>
      </c>
      <c r="S902">
        <f t="shared" si="42"/>
        <v>7.0000000018626451</v>
      </c>
      <c r="T902">
        <f t="shared" si="44"/>
        <v>7</v>
      </c>
    </row>
    <row r="903" spans="1:20">
      <c r="A903" t="s">
        <v>288</v>
      </c>
      <c r="B903" t="s">
        <v>25</v>
      </c>
      <c r="C903" t="s">
        <v>26</v>
      </c>
      <c r="D903" t="s">
        <v>27</v>
      </c>
      <c r="E903" t="s">
        <v>21</v>
      </c>
      <c r="F903" t="s">
        <v>35</v>
      </c>
      <c r="G903">
        <v>14.39</v>
      </c>
      <c r="H903">
        <v>2</v>
      </c>
      <c r="I903">
        <v>1.4390000000000001</v>
      </c>
      <c r="J903">
        <v>30.219000000000001</v>
      </c>
      <c r="K903" s="1">
        <v>43526</v>
      </c>
      <c r="L903" s="2">
        <v>0.82222222222222219</v>
      </c>
      <c r="M903" t="s">
        <v>32</v>
      </c>
      <c r="N903">
        <v>28.78</v>
      </c>
      <c r="O903">
        <v>4.7619047620000003</v>
      </c>
      <c r="P903">
        <v>1.4390000000000001</v>
      </c>
      <c r="Q903">
        <v>7.2</v>
      </c>
      <c r="R903" s="3">
        <f t="shared" si="43"/>
        <v>43526.822222222225</v>
      </c>
      <c r="S903">
        <f t="shared" si="42"/>
        <v>182.00000000651926</v>
      </c>
      <c r="T903">
        <f t="shared" si="44"/>
        <v>182</v>
      </c>
    </row>
    <row r="904" spans="1:20" hidden="1">
      <c r="A904" t="s">
        <v>626</v>
      </c>
      <c r="B904" t="s">
        <v>25</v>
      </c>
      <c r="C904" t="s">
        <v>26</v>
      </c>
      <c r="D904" t="s">
        <v>20</v>
      </c>
      <c r="E904" t="s">
        <v>177</v>
      </c>
      <c r="F904" t="s">
        <v>22</v>
      </c>
      <c r="G904">
        <v>46.53</v>
      </c>
      <c r="H904">
        <v>6</v>
      </c>
      <c r="I904">
        <v>13.959</v>
      </c>
      <c r="J904">
        <v>293.13900000000001</v>
      </c>
      <c r="K904" s="1">
        <v>43527</v>
      </c>
      <c r="L904" s="2">
        <v>0.45416666666666666</v>
      </c>
      <c r="M904" t="s">
        <v>32</v>
      </c>
      <c r="N904">
        <v>279.18</v>
      </c>
      <c r="O904">
        <v>4.7619047620000003</v>
      </c>
      <c r="P904">
        <v>13.959</v>
      </c>
      <c r="Q904">
        <v>4.3</v>
      </c>
      <c r="R904" s="3">
        <f t="shared" si="43"/>
        <v>43527.45416666667</v>
      </c>
      <c r="S904" t="str">
        <f t="shared" si="42"/>
        <v/>
      </c>
      <c r="T904" t="str">
        <f t="shared" si="44"/>
        <v/>
      </c>
    </row>
    <row r="905" spans="1:20">
      <c r="A905" t="s">
        <v>331</v>
      </c>
      <c r="B905" t="s">
        <v>25</v>
      </c>
      <c r="C905" t="s">
        <v>26</v>
      </c>
      <c r="D905" t="s">
        <v>20</v>
      </c>
      <c r="E905" t="s">
        <v>21</v>
      </c>
      <c r="F905" t="s">
        <v>28</v>
      </c>
      <c r="G905">
        <v>51.92</v>
      </c>
      <c r="H905">
        <v>5</v>
      </c>
      <c r="I905">
        <v>12.98</v>
      </c>
      <c r="J905">
        <v>272.58</v>
      </c>
      <c r="K905" s="1">
        <v>43527</v>
      </c>
      <c r="L905" s="2">
        <v>0.5708333333333333</v>
      </c>
      <c r="M905" t="s">
        <v>29</v>
      </c>
      <c r="N905">
        <v>259.60000000000002</v>
      </c>
      <c r="O905">
        <v>4.7619047620000003</v>
      </c>
      <c r="P905">
        <v>12.98</v>
      </c>
      <c r="Q905">
        <v>7.5</v>
      </c>
      <c r="R905" s="3">
        <f t="shared" si="43"/>
        <v>43527.570833333331</v>
      </c>
      <c r="S905">
        <f t="shared" si="42"/>
        <v>167.99999999231659</v>
      </c>
      <c r="T905">
        <f t="shared" si="44"/>
        <v>168</v>
      </c>
    </row>
    <row r="906" spans="1:20">
      <c r="A906" t="s">
        <v>144</v>
      </c>
      <c r="B906" t="s">
        <v>25</v>
      </c>
      <c r="C906" t="s">
        <v>26</v>
      </c>
      <c r="D906" t="s">
        <v>20</v>
      </c>
      <c r="E906" t="s">
        <v>21</v>
      </c>
      <c r="F906" t="s">
        <v>28</v>
      </c>
      <c r="G906">
        <v>81.97</v>
      </c>
      <c r="H906">
        <v>10</v>
      </c>
      <c r="I906">
        <v>40.984999999999999</v>
      </c>
      <c r="J906">
        <v>860.68499999999995</v>
      </c>
      <c r="K906" s="1">
        <v>43527</v>
      </c>
      <c r="L906" s="2">
        <v>0.60416666666666663</v>
      </c>
      <c r="M906" t="s">
        <v>29</v>
      </c>
      <c r="N906">
        <v>819.7</v>
      </c>
      <c r="O906">
        <v>4.7619047620000003</v>
      </c>
      <c r="P906">
        <v>40.984999999999999</v>
      </c>
      <c r="Q906">
        <v>9.1999999999999993</v>
      </c>
      <c r="R906" s="3">
        <f t="shared" si="43"/>
        <v>43527.604166666664</v>
      </c>
      <c r="S906">
        <f t="shared" si="42"/>
        <v>47.999999999301508</v>
      </c>
      <c r="T906">
        <f t="shared" si="44"/>
        <v>48</v>
      </c>
    </row>
    <row r="907" spans="1:20">
      <c r="A907" t="s">
        <v>819</v>
      </c>
      <c r="B907" t="s">
        <v>25</v>
      </c>
      <c r="C907" t="s">
        <v>26</v>
      </c>
      <c r="D907" t="s">
        <v>27</v>
      </c>
      <c r="E907" t="s">
        <v>21</v>
      </c>
      <c r="F907" t="s">
        <v>31</v>
      </c>
      <c r="G907">
        <v>44.01</v>
      </c>
      <c r="H907">
        <v>8</v>
      </c>
      <c r="I907">
        <v>17.603999999999999</v>
      </c>
      <c r="J907">
        <v>369.68400000000003</v>
      </c>
      <c r="K907" s="1">
        <v>43527</v>
      </c>
      <c r="L907" s="2">
        <v>0.73333333333333328</v>
      </c>
      <c r="M907" t="s">
        <v>29</v>
      </c>
      <c r="N907">
        <v>352.08</v>
      </c>
      <c r="O907">
        <v>4.7619047620000003</v>
      </c>
      <c r="P907">
        <v>17.603999999999999</v>
      </c>
      <c r="Q907">
        <v>8.8000000000000007</v>
      </c>
      <c r="R907" s="3">
        <f t="shared" si="43"/>
        <v>43527.73333333333</v>
      </c>
      <c r="S907">
        <f t="shared" si="42"/>
        <v>185.99999999860302</v>
      </c>
      <c r="T907">
        <f t="shared" si="44"/>
        <v>186</v>
      </c>
    </row>
    <row r="908" spans="1:20">
      <c r="A908" t="s">
        <v>208</v>
      </c>
      <c r="B908" t="s">
        <v>25</v>
      </c>
      <c r="C908" t="s">
        <v>26</v>
      </c>
      <c r="D908" t="s">
        <v>27</v>
      </c>
      <c r="E908" t="s">
        <v>177</v>
      </c>
      <c r="F908" t="s">
        <v>28</v>
      </c>
      <c r="G908">
        <v>20.85</v>
      </c>
      <c r="H908">
        <v>8</v>
      </c>
      <c r="I908">
        <v>8.34</v>
      </c>
      <c r="J908">
        <v>175.14</v>
      </c>
      <c r="K908" s="1">
        <v>43527</v>
      </c>
      <c r="L908" s="2">
        <v>0.80347222222222225</v>
      </c>
      <c r="M908" t="s">
        <v>29</v>
      </c>
      <c r="N908">
        <v>166.8</v>
      </c>
      <c r="O908">
        <v>4.7619047620000003</v>
      </c>
      <c r="P908">
        <v>8.34</v>
      </c>
      <c r="Q908">
        <v>6.3</v>
      </c>
      <c r="R908" s="3">
        <f t="shared" si="43"/>
        <v>43527.803472222222</v>
      </c>
      <c r="S908">
        <f t="shared" si="42"/>
        <v>101.00000000442378</v>
      </c>
      <c r="T908">
        <f t="shared" si="44"/>
        <v>101</v>
      </c>
    </row>
    <row r="909" spans="1:20">
      <c r="A909" t="s">
        <v>837</v>
      </c>
      <c r="B909" t="s">
        <v>25</v>
      </c>
      <c r="C909" t="s">
        <v>26</v>
      </c>
      <c r="D909" t="s">
        <v>20</v>
      </c>
      <c r="E909" t="s">
        <v>21</v>
      </c>
      <c r="F909" t="s">
        <v>28</v>
      </c>
      <c r="G909">
        <v>30.2</v>
      </c>
      <c r="H909">
        <v>8</v>
      </c>
      <c r="I909">
        <v>12.08</v>
      </c>
      <c r="J909">
        <v>253.68</v>
      </c>
      <c r="K909" s="1">
        <v>43527</v>
      </c>
      <c r="L909" s="2">
        <v>0.8125</v>
      </c>
      <c r="M909" t="s">
        <v>23</v>
      </c>
      <c r="N909">
        <v>241.6</v>
      </c>
      <c r="O909">
        <v>4.7619047620000003</v>
      </c>
      <c r="P909">
        <v>12.08</v>
      </c>
      <c r="Q909">
        <v>5.0999999999999996</v>
      </c>
      <c r="R909" s="3">
        <f t="shared" si="43"/>
        <v>43527.8125</v>
      </c>
      <c r="S909">
        <f t="shared" si="42"/>
        <v>13.000000000465661</v>
      </c>
      <c r="T909">
        <f t="shared" si="44"/>
        <v>13</v>
      </c>
    </row>
    <row r="910" spans="1:20" hidden="1">
      <c r="A910" t="s">
        <v>390</v>
      </c>
      <c r="B910" t="s">
        <v>25</v>
      </c>
      <c r="C910" t="s">
        <v>26</v>
      </c>
      <c r="D910" t="s">
        <v>27</v>
      </c>
      <c r="E910" t="s">
        <v>21</v>
      </c>
      <c r="F910" t="s">
        <v>28</v>
      </c>
      <c r="G910">
        <v>30.24</v>
      </c>
      <c r="H910">
        <v>1</v>
      </c>
      <c r="I910">
        <v>1.512</v>
      </c>
      <c r="J910">
        <v>31.751999999999999</v>
      </c>
      <c r="K910" s="1">
        <v>43528</v>
      </c>
      <c r="L910" s="2">
        <v>0.65555555555555556</v>
      </c>
      <c r="M910" t="s">
        <v>29</v>
      </c>
      <c r="N910">
        <v>30.24</v>
      </c>
      <c r="O910">
        <v>4.7619047620000003</v>
      </c>
      <c r="P910">
        <v>1.512</v>
      </c>
      <c r="Q910">
        <v>8.4</v>
      </c>
      <c r="R910" s="3">
        <f t="shared" si="43"/>
        <v>43528.655555555553</v>
      </c>
      <c r="S910" t="str">
        <f t="shared" si="42"/>
        <v/>
      </c>
      <c r="T910" t="str">
        <f t="shared" si="44"/>
        <v/>
      </c>
    </row>
    <row r="911" spans="1:20">
      <c r="A911" t="s">
        <v>78</v>
      </c>
      <c r="B911" t="s">
        <v>25</v>
      </c>
      <c r="C911" t="s">
        <v>26</v>
      </c>
      <c r="D911" t="s">
        <v>20</v>
      </c>
      <c r="E911" t="s">
        <v>21</v>
      </c>
      <c r="F911" t="s">
        <v>43</v>
      </c>
      <c r="G911">
        <v>98.7</v>
      </c>
      <c r="H911">
        <v>8</v>
      </c>
      <c r="I911">
        <v>39.479999999999997</v>
      </c>
      <c r="J911">
        <v>829.08</v>
      </c>
      <c r="K911" s="1">
        <v>43528</v>
      </c>
      <c r="L911" s="2">
        <v>0.86041666666666672</v>
      </c>
      <c r="M911" t="s">
        <v>29</v>
      </c>
      <c r="N911">
        <v>789.6</v>
      </c>
      <c r="O911">
        <v>4.7619047620000003</v>
      </c>
      <c r="P911">
        <v>39.479999999999997</v>
      </c>
      <c r="Q911">
        <v>7.6</v>
      </c>
      <c r="R911" s="3">
        <f t="shared" si="43"/>
        <v>43528.86041666667</v>
      </c>
      <c r="S911">
        <f t="shared" si="42"/>
        <v>295.00000000814907</v>
      </c>
      <c r="T911">
        <f t="shared" si="44"/>
        <v>295</v>
      </c>
    </row>
    <row r="912" spans="1:20" hidden="1">
      <c r="A912" t="s">
        <v>529</v>
      </c>
      <c r="B912" t="s">
        <v>25</v>
      </c>
      <c r="C912" t="s">
        <v>26</v>
      </c>
      <c r="D912" t="s">
        <v>20</v>
      </c>
      <c r="E912" t="s">
        <v>21</v>
      </c>
      <c r="F912" t="s">
        <v>31</v>
      </c>
      <c r="G912">
        <v>12.12</v>
      </c>
      <c r="H912">
        <v>10</v>
      </c>
      <c r="I912">
        <v>6.06</v>
      </c>
      <c r="J912">
        <v>127.26</v>
      </c>
      <c r="K912" s="1">
        <v>43529</v>
      </c>
      <c r="L912" s="2">
        <v>0.57222222222222219</v>
      </c>
      <c r="M912" t="s">
        <v>32</v>
      </c>
      <c r="N912">
        <v>121.2</v>
      </c>
      <c r="O912">
        <v>4.7619047620000003</v>
      </c>
      <c r="P912">
        <v>6.06</v>
      </c>
      <c r="Q912">
        <v>8.4</v>
      </c>
      <c r="R912" s="3">
        <f t="shared" si="43"/>
        <v>43529.572222222225</v>
      </c>
      <c r="S912" t="str">
        <f t="shared" si="42"/>
        <v/>
      </c>
      <c r="T912" t="str">
        <f t="shared" si="44"/>
        <v/>
      </c>
    </row>
    <row r="913" spans="1:20">
      <c r="A913" t="s">
        <v>120</v>
      </c>
      <c r="B913" t="s">
        <v>25</v>
      </c>
      <c r="C913" t="s">
        <v>26</v>
      </c>
      <c r="D913" t="s">
        <v>20</v>
      </c>
      <c r="E913" t="s">
        <v>21</v>
      </c>
      <c r="F913" t="s">
        <v>35</v>
      </c>
      <c r="G913">
        <v>83.06</v>
      </c>
      <c r="H913">
        <v>7</v>
      </c>
      <c r="I913">
        <v>29.071000000000002</v>
      </c>
      <c r="J913">
        <v>610.49099999999999</v>
      </c>
      <c r="K913" s="1">
        <v>43529</v>
      </c>
      <c r="L913" s="2">
        <v>0.60486111111111107</v>
      </c>
      <c r="M913" t="s">
        <v>23</v>
      </c>
      <c r="N913">
        <v>581.41999999999996</v>
      </c>
      <c r="O913">
        <v>4.7619047620000003</v>
      </c>
      <c r="P913">
        <v>29.071000000000002</v>
      </c>
      <c r="Q913">
        <v>4</v>
      </c>
      <c r="R913" s="3">
        <f t="shared" si="43"/>
        <v>43529.604861111111</v>
      </c>
      <c r="S913">
        <f t="shared" ref="S913:S976" si="45">IF(K913=K912, (R913-R912)*1440, "")</f>
        <v>46.999999996041879</v>
      </c>
      <c r="T913">
        <f t="shared" si="44"/>
        <v>47</v>
      </c>
    </row>
    <row r="914" spans="1:20">
      <c r="A914" t="s">
        <v>113</v>
      </c>
      <c r="B914" t="s">
        <v>25</v>
      </c>
      <c r="C914" t="s">
        <v>26</v>
      </c>
      <c r="D914" t="s">
        <v>20</v>
      </c>
      <c r="E914" t="s">
        <v>21</v>
      </c>
      <c r="F914" t="s">
        <v>43</v>
      </c>
      <c r="G914">
        <v>78.31</v>
      </c>
      <c r="H914">
        <v>10</v>
      </c>
      <c r="I914">
        <v>39.155000000000001</v>
      </c>
      <c r="J914">
        <v>822.255</v>
      </c>
      <c r="K914" s="1">
        <v>43529</v>
      </c>
      <c r="L914" s="2">
        <v>0.68333333333333335</v>
      </c>
      <c r="M914" t="s">
        <v>23</v>
      </c>
      <c r="N914">
        <v>783.1</v>
      </c>
      <c r="O914">
        <v>4.7619047620000003</v>
      </c>
      <c r="P914">
        <v>39.155000000000001</v>
      </c>
      <c r="Q914">
        <v>6.6</v>
      </c>
      <c r="R914" s="3">
        <f t="shared" si="43"/>
        <v>43529.683333333334</v>
      </c>
      <c r="S914">
        <f t="shared" si="45"/>
        <v>113.00000000162981</v>
      </c>
      <c r="T914">
        <f t="shared" si="44"/>
        <v>113</v>
      </c>
    </row>
    <row r="915" spans="1:20">
      <c r="A915" t="s">
        <v>273</v>
      </c>
      <c r="B915" t="s">
        <v>25</v>
      </c>
      <c r="C915" t="s">
        <v>26</v>
      </c>
      <c r="D915" t="s">
        <v>20</v>
      </c>
      <c r="E915" t="s">
        <v>21</v>
      </c>
      <c r="F915" t="s">
        <v>45</v>
      </c>
      <c r="G915">
        <v>44.22</v>
      </c>
      <c r="H915">
        <v>5</v>
      </c>
      <c r="I915">
        <v>11.055</v>
      </c>
      <c r="J915">
        <v>232.155</v>
      </c>
      <c r="K915" s="1">
        <v>43529</v>
      </c>
      <c r="L915" s="2">
        <v>0.71319444444444446</v>
      </c>
      <c r="M915" t="s">
        <v>32</v>
      </c>
      <c r="N915">
        <v>221.1</v>
      </c>
      <c r="O915">
        <v>4.7619047620000003</v>
      </c>
      <c r="P915">
        <v>11.055</v>
      </c>
      <c r="Q915">
        <v>8.6</v>
      </c>
      <c r="R915" s="3">
        <f t="shared" si="43"/>
        <v>43529.713194444441</v>
      </c>
      <c r="S915">
        <f t="shared" si="45"/>
        <v>42.999999993480742</v>
      </c>
      <c r="T915">
        <f t="shared" si="44"/>
        <v>43</v>
      </c>
    </row>
    <row r="916" spans="1:20">
      <c r="A916" t="s">
        <v>812</v>
      </c>
      <c r="B916" t="s">
        <v>25</v>
      </c>
      <c r="C916" t="s">
        <v>26</v>
      </c>
      <c r="D916" t="s">
        <v>20</v>
      </c>
      <c r="E916" t="s">
        <v>177</v>
      </c>
      <c r="F916" t="s">
        <v>22</v>
      </c>
      <c r="G916">
        <v>65.31</v>
      </c>
      <c r="H916">
        <v>7</v>
      </c>
      <c r="I916">
        <v>22.858499999999999</v>
      </c>
      <c r="J916">
        <v>480.02850000000001</v>
      </c>
      <c r="K916" s="1">
        <v>43529</v>
      </c>
      <c r="L916" s="2">
        <v>0.75138888888888888</v>
      </c>
      <c r="M916" t="s">
        <v>32</v>
      </c>
      <c r="N916">
        <v>457.17</v>
      </c>
      <c r="O916">
        <v>4.7619047620000003</v>
      </c>
      <c r="P916">
        <v>22.858499999999999</v>
      </c>
      <c r="Q916">
        <v>4.2</v>
      </c>
      <c r="R916" s="3">
        <f t="shared" si="43"/>
        <v>43529.751388888886</v>
      </c>
      <c r="S916">
        <f t="shared" si="45"/>
        <v>55.000000001164153</v>
      </c>
      <c r="T916">
        <f t="shared" si="44"/>
        <v>55</v>
      </c>
    </row>
    <row r="917" spans="1:20" hidden="1">
      <c r="A917" t="s">
        <v>317</v>
      </c>
      <c r="B917" t="s">
        <v>25</v>
      </c>
      <c r="C917" t="s">
        <v>26</v>
      </c>
      <c r="D917" t="s">
        <v>27</v>
      </c>
      <c r="E917" t="s">
        <v>177</v>
      </c>
      <c r="F917" t="s">
        <v>31</v>
      </c>
      <c r="G917">
        <v>37</v>
      </c>
      <c r="H917">
        <v>1</v>
      </c>
      <c r="I917">
        <v>1.85</v>
      </c>
      <c r="J917">
        <v>38.85</v>
      </c>
      <c r="K917" s="1">
        <v>43530</v>
      </c>
      <c r="L917" s="2">
        <v>0.56180555555555556</v>
      </c>
      <c r="M917" t="s">
        <v>32</v>
      </c>
      <c r="N917">
        <v>37</v>
      </c>
      <c r="O917">
        <v>4.7619047620000003</v>
      </c>
      <c r="P917">
        <v>1.85</v>
      </c>
      <c r="Q917">
        <v>7.9</v>
      </c>
      <c r="R917" s="3">
        <f t="shared" si="43"/>
        <v>43530.561805555553</v>
      </c>
      <c r="S917" t="str">
        <f t="shared" si="45"/>
        <v/>
      </c>
      <c r="T917" t="str">
        <f t="shared" si="44"/>
        <v/>
      </c>
    </row>
    <row r="918" spans="1:20" hidden="1">
      <c r="A918" t="s">
        <v>589</v>
      </c>
      <c r="B918" t="s">
        <v>25</v>
      </c>
      <c r="C918" t="s">
        <v>26</v>
      </c>
      <c r="D918" t="s">
        <v>27</v>
      </c>
      <c r="E918" t="s">
        <v>177</v>
      </c>
      <c r="F918" t="s">
        <v>28</v>
      </c>
      <c r="G918">
        <v>22.21</v>
      </c>
      <c r="H918">
        <v>6</v>
      </c>
      <c r="I918">
        <v>6.6630000000000003</v>
      </c>
      <c r="J918">
        <v>139.923</v>
      </c>
      <c r="K918" s="1">
        <v>43531</v>
      </c>
      <c r="L918" s="2">
        <v>0.43263888888888891</v>
      </c>
      <c r="M918" t="s">
        <v>32</v>
      </c>
      <c r="N918">
        <v>133.26</v>
      </c>
      <c r="O918">
        <v>4.7619047620000003</v>
      </c>
      <c r="P918">
        <v>6.6630000000000003</v>
      </c>
      <c r="Q918">
        <v>8.6</v>
      </c>
      <c r="R918" s="3">
        <f t="shared" si="43"/>
        <v>43531.432638888888</v>
      </c>
      <c r="S918" t="str">
        <f t="shared" si="45"/>
        <v/>
      </c>
      <c r="T918" t="str">
        <f t="shared" si="44"/>
        <v/>
      </c>
    </row>
    <row r="919" spans="1:20">
      <c r="A919" t="s">
        <v>297</v>
      </c>
      <c r="B919" t="s">
        <v>25</v>
      </c>
      <c r="C919" t="s">
        <v>26</v>
      </c>
      <c r="D919" t="s">
        <v>27</v>
      </c>
      <c r="E919" t="s">
        <v>21</v>
      </c>
      <c r="F919" t="s">
        <v>45</v>
      </c>
      <c r="G919">
        <v>16.45</v>
      </c>
      <c r="H919">
        <v>4</v>
      </c>
      <c r="I919">
        <v>3.29</v>
      </c>
      <c r="J919">
        <v>69.09</v>
      </c>
      <c r="K919" s="1">
        <v>43531</v>
      </c>
      <c r="L919" s="2">
        <v>0.62013888888888891</v>
      </c>
      <c r="M919" t="s">
        <v>23</v>
      </c>
      <c r="N919">
        <v>65.8</v>
      </c>
      <c r="O919">
        <v>4.7619047620000003</v>
      </c>
      <c r="P919">
        <v>3.29</v>
      </c>
      <c r="Q919">
        <v>5.6</v>
      </c>
      <c r="R919" s="3">
        <f t="shared" si="43"/>
        <v>43531.620138888888</v>
      </c>
      <c r="S919">
        <f t="shared" si="45"/>
        <v>270</v>
      </c>
      <c r="T919">
        <f t="shared" si="44"/>
        <v>270</v>
      </c>
    </row>
    <row r="920" spans="1:20">
      <c r="A920" t="s">
        <v>513</v>
      </c>
      <c r="B920" t="s">
        <v>25</v>
      </c>
      <c r="C920" t="s">
        <v>26</v>
      </c>
      <c r="D920" t="s">
        <v>27</v>
      </c>
      <c r="E920" t="s">
        <v>177</v>
      </c>
      <c r="F920" t="s">
        <v>28</v>
      </c>
      <c r="G920">
        <v>84.07</v>
      </c>
      <c r="H920">
        <v>4</v>
      </c>
      <c r="I920">
        <v>16.814</v>
      </c>
      <c r="J920">
        <v>353.09399999999999</v>
      </c>
      <c r="K920" s="1">
        <v>43531</v>
      </c>
      <c r="L920" s="2">
        <v>0.70416666666666672</v>
      </c>
      <c r="M920" t="s">
        <v>23</v>
      </c>
      <c r="N920">
        <v>336.28</v>
      </c>
      <c r="O920">
        <v>4.7619047620000003</v>
      </c>
      <c r="P920">
        <v>16.814</v>
      </c>
      <c r="Q920">
        <v>4.4000000000000004</v>
      </c>
      <c r="R920" s="3">
        <f t="shared" si="43"/>
        <v>43531.70416666667</v>
      </c>
      <c r="S920">
        <f t="shared" si="45"/>
        <v>121.00000000675209</v>
      </c>
      <c r="T920">
        <f t="shared" si="44"/>
        <v>121</v>
      </c>
    </row>
    <row r="921" spans="1:20">
      <c r="A921" t="s">
        <v>398</v>
      </c>
      <c r="B921" t="s">
        <v>25</v>
      </c>
      <c r="C921" t="s">
        <v>26</v>
      </c>
      <c r="D921" t="s">
        <v>27</v>
      </c>
      <c r="E921" t="s">
        <v>177</v>
      </c>
      <c r="F921" t="s">
        <v>43</v>
      </c>
      <c r="G921">
        <v>99.79</v>
      </c>
      <c r="H921">
        <v>2</v>
      </c>
      <c r="I921">
        <v>9.9789999999999992</v>
      </c>
      <c r="J921">
        <v>209.559</v>
      </c>
      <c r="K921" s="1">
        <v>43531</v>
      </c>
      <c r="L921" s="2">
        <v>0.85902777777777772</v>
      </c>
      <c r="M921" t="s">
        <v>23</v>
      </c>
      <c r="N921">
        <v>199.58</v>
      </c>
      <c r="O921">
        <v>4.7619047620000003</v>
      </c>
      <c r="P921">
        <v>9.9789999999999992</v>
      </c>
      <c r="Q921">
        <v>8</v>
      </c>
      <c r="R921" s="3">
        <f t="shared" si="43"/>
        <v>43531.859027777777</v>
      </c>
      <c r="S921">
        <f t="shared" si="45"/>
        <v>222.99999999348074</v>
      </c>
      <c r="T921">
        <f t="shared" si="44"/>
        <v>223</v>
      </c>
    </row>
    <row r="922" spans="1:20" hidden="1">
      <c r="A922" t="s">
        <v>24</v>
      </c>
      <c r="B922" t="s">
        <v>25</v>
      </c>
      <c r="C922" t="s">
        <v>26</v>
      </c>
      <c r="D922" t="s">
        <v>27</v>
      </c>
      <c r="E922" t="s">
        <v>21</v>
      </c>
      <c r="F922" t="s">
        <v>28</v>
      </c>
      <c r="G922">
        <v>15.28</v>
      </c>
      <c r="H922">
        <v>5</v>
      </c>
      <c r="I922">
        <v>3.82</v>
      </c>
      <c r="J922">
        <v>80.22</v>
      </c>
      <c r="K922" s="1">
        <v>43532</v>
      </c>
      <c r="L922" s="2">
        <v>0.43680555555555556</v>
      </c>
      <c r="M922" t="s">
        <v>29</v>
      </c>
      <c r="N922">
        <v>76.400000000000006</v>
      </c>
      <c r="O922">
        <v>4.7619047620000003</v>
      </c>
      <c r="P922">
        <v>3.82</v>
      </c>
      <c r="Q922">
        <v>9.6</v>
      </c>
      <c r="R922" s="3">
        <f t="shared" si="43"/>
        <v>43532.436805555553</v>
      </c>
      <c r="S922" t="str">
        <f t="shared" si="45"/>
        <v/>
      </c>
      <c r="T922" t="str">
        <f t="shared" si="44"/>
        <v/>
      </c>
    </row>
    <row r="923" spans="1:20">
      <c r="A923" t="s">
        <v>169</v>
      </c>
      <c r="B923" t="s">
        <v>25</v>
      </c>
      <c r="C923" t="s">
        <v>26</v>
      </c>
      <c r="D923" t="s">
        <v>27</v>
      </c>
      <c r="E923" t="s">
        <v>21</v>
      </c>
      <c r="F923" t="s">
        <v>22</v>
      </c>
      <c r="G923">
        <v>81.3</v>
      </c>
      <c r="H923">
        <v>6</v>
      </c>
      <c r="I923">
        <v>24.39</v>
      </c>
      <c r="J923">
        <v>512.19000000000005</v>
      </c>
      <c r="K923" s="1">
        <v>43532</v>
      </c>
      <c r="L923" s="2">
        <v>0.69652777777777775</v>
      </c>
      <c r="M923" t="s">
        <v>23</v>
      </c>
      <c r="N923">
        <v>487.8</v>
      </c>
      <c r="O923">
        <v>4.7619047620000003</v>
      </c>
      <c r="P923">
        <v>24.39</v>
      </c>
      <c r="Q923">
        <v>5.3</v>
      </c>
      <c r="R923" s="3">
        <f t="shared" si="43"/>
        <v>43532.696527777778</v>
      </c>
      <c r="S923">
        <f t="shared" si="45"/>
        <v>374.00000000372529</v>
      </c>
      <c r="T923">
        <f t="shared" si="44"/>
        <v>374</v>
      </c>
    </row>
    <row r="924" spans="1:20">
      <c r="A924" t="s">
        <v>467</v>
      </c>
      <c r="B924" t="s">
        <v>25</v>
      </c>
      <c r="C924" t="s">
        <v>26</v>
      </c>
      <c r="D924" t="s">
        <v>27</v>
      </c>
      <c r="E924" t="s">
        <v>177</v>
      </c>
      <c r="F924" t="s">
        <v>43</v>
      </c>
      <c r="G924">
        <v>43.27</v>
      </c>
      <c r="H924">
        <v>2</v>
      </c>
      <c r="I924">
        <v>4.327</v>
      </c>
      <c r="J924">
        <v>90.867000000000004</v>
      </c>
      <c r="K924" s="1">
        <v>43532</v>
      </c>
      <c r="L924" s="2">
        <v>0.70347222222222228</v>
      </c>
      <c r="M924" t="s">
        <v>23</v>
      </c>
      <c r="N924">
        <v>86.54</v>
      </c>
      <c r="O924">
        <v>4.7619047620000003</v>
      </c>
      <c r="P924">
        <v>4.327</v>
      </c>
      <c r="Q924">
        <v>5.7</v>
      </c>
      <c r="R924" s="3">
        <f t="shared" si="43"/>
        <v>43532.703472222223</v>
      </c>
      <c r="S924">
        <f t="shared" si="45"/>
        <v>10.000000001164153</v>
      </c>
      <c r="T924">
        <f t="shared" si="44"/>
        <v>10</v>
      </c>
    </row>
    <row r="925" spans="1:20">
      <c r="A925" t="s">
        <v>181</v>
      </c>
      <c r="B925" t="s">
        <v>25</v>
      </c>
      <c r="C925" t="s">
        <v>26</v>
      </c>
      <c r="D925" t="s">
        <v>27</v>
      </c>
      <c r="E925" t="s">
        <v>21</v>
      </c>
      <c r="F925" t="s">
        <v>22</v>
      </c>
      <c r="G925">
        <v>46.26</v>
      </c>
      <c r="H925">
        <v>6</v>
      </c>
      <c r="I925">
        <v>13.878</v>
      </c>
      <c r="J925">
        <v>291.43799999999999</v>
      </c>
      <c r="K925" s="1">
        <v>43532</v>
      </c>
      <c r="L925" s="2">
        <v>0.71597222222222223</v>
      </c>
      <c r="M925" t="s">
        <v>32</v>
      </c>
      <c r="N925">
        <v>277.56</v>
      </c>
      <c r="O925">
        <v>4.7619047620000003</v>
      </c>
      <c r="P925">
        <v>13.878</v>
      </c>
      <c r="Q925">
        <v>9.5</v>
      </c>
      <c r="R925" s="3">
        <f t="shared" si="43"/>
        <v>43532.71597222222</v>
      </c>
      <c r="S925">
        <f t="shared" si="45"/>
        <v>17.999999995809048</v>
      </c>
      <c r="T925">
        <f t="shared" si="44"/>
        <v>18</v>
      </c>
    </row>
    <row r="926" spans="1:20">
      <c r="A926" t="s">
        <v>392</v>
      </c>
      <c r="B926" t="s">
        <v>25</v>
      </c>
      <c r="C926" t="s">
        <v>26</v>
      </c>
      <c r="D926" t="s">
        <v>27</v>
      </c>
      <c r="E926" t="s">
        <v>21</v>
      </c>
      <c r="F926" t="s">
        <v>45</v>
      </c>
      <c r="G926">
        <v>37.549999999999997</v>
      </c>
      <c r="H926">
        <v>10</v>
      </c>
      <c r="I926">
        <v>18.774999999999999</v>
      </c>
      <c r="J926">
        <v>394.27499999999998</v>
      </c>
      <c r="K926" s="1">
        <v>43532</v>
      </c>
      <c r="L926" s="2">
        <v>0.83402777777777781</v>
      </c>
      <c r="M926" t="s">
        <v>32</v>
      </c>
      <c r="N926">
        <v>375.5</v>
      </c>
      <c r="O926">
        <v>4.7619047620000003</v>
      </c>
      <c r="P926">
        <v>18.774999999999999</v>
      </c>
      <c r="Q926">
        <v>9.3000000000000007</v>
      </c>
      <c r="R926" s="3">
        <f t="shared" si="43"/>
        <v>43532.834027777775</v>
      </c>
      <c r="S926">
        <f t="shared" si="45"/>
        <v>169.99999999883585</v>
      </c>
      <c r="T926">
        <f t="shared" si="44"/>
        <v>170</v>
      </c>
    </row>
    <row r="927" spans="1:20">
      <c r="A927" t="s">
        <v>474</v>
      </c>
      <c r="B927" t="s">
        <v>25</v>
      </c>
      <c r="C927" t="s">
        <v>26</v>
      </c>
      <c r="D927" t="s">
        <v>20</v>
      </c>
      <c r="E927" t="s">
        <v>177</v>
      </c>
      <c r="F927" t="s">
        <v>43</v>
      </c>
      <c r="G927">
        <v>17.04</v>
      </c>
      <c r="H927">
        <v>4</v>
      </c>
      <c r="I927">
        <v>3.4079999999999999</v>
      </c>
      <c r="J927">
        <v>71.567999999999998</v>
      </c>
      <c r="K927" s="1">
        <v>43532</v>
      </c>
      <c r="L927" s="2">
        <v>0.84375</v>
      </c>
      <c r="M927" t="s">
        <v>23</v>
      </c>
      <c r="N927">
        <v>68.16</v>
      </c>
      <c r="O927">
        <v>4.7619047620000003</v>
      </c>
      <c r="P927">
        <v>3.4079999999999999</v>
      </c>
      <c r="Q927">
        <v>7</v>
      </c>
      <c r="R927" s="3">
        <f t="shared" si="43"/>
        <v>43532.84375</v>
      </c>
      <c r="S927">
        <f t="shared" si="45"/>
        <v>14.00000000372529</v>
      </c>
      <c r="T927">
        <f t="shared" si="44"/>
        <v>14</v>
      </c>
    </row>
    <row r="928" spans="1:20" hidden="1">
      <c r="A928" t="s">
        <v>119</v>
      </c>
      <c r="B928" t="s">
        <v>25</v>
      </c>
      <c r="C928" t="s">
        <v>26</v>
      </c>
      <c r="D928" t="s">
        <v>20</v>
      </c>
      <c r="E928" t="s">
        <v>21</v>
      </c>
      <c r="F928" t="s">
        <v>35</v>
      </c>
      <c r="G928">
        <v>48.91</v>
      </c>
      <c r="H928">
        <v>5</v>
      </c>
      <c r="I928">
        <v>12.227499999999999</v>
      </c>
      <c r="J928">
        <v>256.77749999999997</v>
      </c>
      <c r="K928" s="1">
        <v>43533</v>
      </c>
      <c r="L928" s="2">
        <v>0.4284722222222222</v>
      </c>
      <c r="M928" t="s">
        <v>29</v>
      </c>
      <c r="N928">
        <v>244.55</v>
      </c>
      <c r="O928">
        <v>4.7619047620000003</v>
      </c>
      <c r="P928">
        <v>12.227499999999999</v>
      </c>
      <c r="Q928">
        <v>6.6</v>
      </c>
      <c r="R928" s="3">
        <f t="shared" si="43"/>
        <v>43533.428472222222</v>
      </c>
      <c r="S928" t="str">
        <f t="shared" si="45"/>
        <v/>
      </c>
      <c r="T928" t="str">
        <f t="shared" si="44"/>
        <v/>
      </c>
    </row>
    <row r="929" spans="1:20">
      <c r="A929" t="s">
        <v>647</v>
      </c>
      <c r="B929" t="s">
        <v>25</v>
      </c>
      <c r="C929" t="s">
        <v>26</v>
      </c>
      <c r="D929" t="s">
        <v>20</v>
      </c>
      <c r="E929" t="s">
        <v>21</v>
      </c>
      <c r="F929" t="s">
        <v>43</v>
      </c>
      <c r="G929">
        <v>98.97</v>
      </c>
      <c r="H929">
        <v>9</v>
      </c>
      <c r="I929">
        <v>44.536499999999997</v>
      </c>
      <c r="J929">
        <v>935.26649999999995</v>
      </c>
      <c r="K929" s="1">
        <v>43533</v>
      </c>
      <c r="L929" s="2">
        <v>0.47430555555555554</v>
      </c>
      <c r="M929" t="s">
        <v>29</v>
      </c>
      <c r="N929">
        <v>890.73</v>
      </c>
      <c r="O929">
        <v>4.7619047620000003</v>
      </c>
      <c r="P929">
        <v>44.536499999999997</v>
      </c>
      <c r="Q929">
        <v>6.7</v>
      </c>
      <c r="R929" s="3">
        <f t="shared" si="43"/>
        <v>43533.474305555559</v>
      </c>
      <c r="S929">
        <f t="shared" si="45"/>
        <v>66.000000005587935</v>
      </c>
      <c r="T929">
        <f t="shared" si="44"/>
        <v>66</v>
      </c>
    </row>
    <row r="930" spans="1:20">
      <c r="A930" t="s">
        <v>460</v>
      </c>
      <c r="B930" t="s">
        <v>25</v>
      </c>
      <c r="C930" t="s">
        <v>26</v>
      </c>
      <c r="D930" t="s">
        <v>27</v>
      </c>
      <c r="E930" t="s">
        <v>177</v>
      </c>
      <c r="F930" t="s">
        <v>45</v>
      </c>
      <c r="G930">
        <v>16.28</v>
      </c>
      <c r="H930">
        <v>1</v>
      </c>
      <c r="I930">
        <v>0.81399999999999995</v>
      </c>
      <c r="J930">
        <v>17.094000000000001</v>
      </c>
      <c r="K930" s="1">
        <v>43533</v>
      </c>
      <c r="L930" s="2">
        <v>0.65</v>
      </c>
      <c r="M930" t="s">
        <v>29</v>
      </c>
      <c r="N930">
        <v>16.28</v>
      </c>
      <c r="O930">
        <v>4.7619047620000003</v>
      </c>
      <c r="P930">
        <v>0.81399999999999995</v>
      </c>
      <c r="Q930">
        <v>5</v>
      </c>
      <c r="R930" s="3">
        <f t="shared" si="43"/>
        <v>43533.65</v>
      </c>
      <c r="S930">
        <f t="shared" si="45"/>
        <v>252.9999999969732</v>
      </c>
      <c r="T930">
        <f t="shared" si="44"/>
        <v>253</v>
      </c>
    </row>
    <row r="931" spans="1:20">
      <c r="A931" t="s">
        <v>108</v>
      </c>
      <c r="B931" t="s">
        <v>25</v>
      </c>
      <c r="C931" t="s">
        <v>26</v>
      </c>
      <c r="D931" t="s">
        <v>20</v>
      </c>
      <c r="E931" t="s">
        <v>21</v>
      </c>
      <c r="F931" t="s">
        <v>28</v>
      </c>
      <c r="G931">
        <v>75.91</v>
      </c>
      <c r="H931">
        <v>6</v>
      </c>
      <c r="I931">
        <v>22.773</v>
      </c>
      <c r="J931">
        <v>478.233</v>
      </c>
      <c r="K931" s="1">
        <v>43533</v>
      </c>
      <c r="L931" s="2">
        <v>0.76458333333333328</v>
      </c>
      <c r="M931" t="s">
        <v>29</v>
      </c>
      <c r="N931">
        <v>455.46</v>
      </c>
      <c r="O931">
        <v>4.7619047620000003</v>
      </c>
      <c r="P931">
        <v>22.773</v>
      </c>
      <c r="Q931">
        <v>8.6999999999999993</v>
      </c>
      <c r="R931" s="3">
        <f t="shared" si="43"/>
        <v>43533.76458333333</v>
      </c>
      <c r="S931">
        <f t="shared" si="45"/>
        <v>164.99999999301508</v>
      </c>
      <c r="T931">
        <f t="shared" si="44"/>
        <v>165</v>
      </c>
    </row>
    <row r="932" spans="1:20" hidden="1">
      <c r="A932" t="s">
        <v>771</v>
      </c>
      <c r="B932" t="s">
        <v>25</v>
      </c>
      <c r="C932" t="s">
        <v>26</v>
      </c>
      <c r="D932" t="s">
        <v>20</v>
      </c>
      <c r="E932" t="s">
        <v>177</v>
      </c>
      <c r="F932" t="s">
        <v>22</v>
      </c>
      <c r="G932">
        <v>81.95</v>
      </c>
      <c r="H932">
        <v>10</v>
      </c>
      <c r="I932">
        <v>40.975000000000001</v>
      </c>
      <c r="J932">
        <v>860.47500000000002</v>
      </c>
      <c r="K932" s="1">
        <v>43534</v>
      </c>
      <c r="L932" s="2">
        <v>0.52708333333333335</v>
      </c>
      <c r="M932" t="s">
        <v>32</v>
      </c>
      <c r="N932">
        <v>819.5</v>
      </c>
      <c r="O932">
        <v>4.7619047620000003</v>
      </c>
      <c r="P932">
        <v>40.975000000000001</v>
      </c>
      <c r="Q932">
        <v>6</v>
      </c>
      <c r="R932" s="3">
        <f t="shared" si="43"/>
        <v>43534.527083333334</v>
      </c>
      <c r="S932" t="str">
        <f t="shared" si="45"/>
        <v/>
      </c>
      <c r="T932" t="str">
        <f t="shared" si="44"/>
        <v/>
      </c>
    </row>
    <row r="933" spans="1:20">
      <c r="A933" t="s">
        <v>956</v>
      </c>
      <c r="B933" t="s">
        <v>25</v>
      </c>
      <c r="C933" t="s">
        <v>26</v>
      </c>
      <c r="D933" t="s">
        <v>20</v>
      </c>
      <c r="E933" t="s">
        <v>21</v>
      </c>
      <c r="F933" t="s">
        <v>31</v>
      </c>
      <c r="G933">
        <v>35.79</v>
      </c>
      <c r="H933">
        <v>9</v>
      </c>
      <c r="I933">
        <v>16.105499999999999</v>
      </c>
      <c r="J933">
        <v>338.21550000000002</v>
      </c>
      <c r="K933" s="1">
        <v>43534</v>
      </c>
      <c r="L933" s="2">
        <v>0.62916666666666665</v>
      </c>
      <c r="M933" t="s">
        <v>32</v>
      </c>
      <c r="N933">
        <v>322.11</v>
      </c>
      <c r="O933">
        <v>4.7619047620000003</v>
      </c>
      <c r="P933">
        <v>16.105499999999999</v>
      </c>
      <c r="Q933">
        <v>5.0999999999999996</v>
      </c>
      <c r="R933" s="3">
        <f t="shared" si="43"/>
        <v>43534.629166666666</v>
      </c>
      <c r="S933">
        <f t="shared" si="45"/>
        <v>146.99999999720603</v>
      </c>
      <c r="T933">
        <f t="shared" si="44"/>
        <v>147</v>
      </c>
    </row>
    <row r="934" spans="1:20">
      <c r="A934" t="s">
        <v>483</v>
      </c>
      <c r="B934" t="s">
        <v>25</v>
      </c>
      <c r="C934" t="s">
        <v>26</v>
      </c>
      <c r="D934" t="s">
        <v>27</v>
      </c>
      <c r="E934" t="s">
        <v>177</v>
      </c>
      <c r="F934" t="s">
        <v>45</v>
      </c>
      <c r="G934">
        <v>45.74</v>
      </c>
      <c r="H934">
        <v>3</v>
      </c>
      <c r="I934">
        <v>6.8609999999999998</v>
      </c>
      <c r="J934">
        <v>144.08099999999999</v>
      </c>
      <c r="K934" s="1">
        <v>43534</v>
      </c>
      <c r="L934" s="2">
        <v>0.73472222222222228</v>
      </c>
      <c r="M934" t="s">
        <v>32</v>
      </c>
      <c r="N934">
        <v>137.22</v>
      </c>
      <c r="O934">
        <v>4.7619047620000003</v>
      </c>
      <c r="P934">
        <v>6.8609999999999998</v>
      </c>
      <c r="Q934">
        <v>6.5</v>
      </c>
      <c r="R934" s="3">
        <f t="shared" si="43"/>
        <v>43534.734722222223</v>
      </c>
      <c r="S934">
        <f t="shared" si="45"/>
        <v>152.0000000030268</v>
      </c>
      <c r="T934">
        <f t="shared" si="44"/>
        <v>152</v>
      </c>
    </row>
    <row r="935" spans="1:20" hidden="1">
      <c r="A935" t="s">
        <v>422</v>
      </c>
      <c r="B935" t="s">
        <v>25</v>
      </c>
      <c r="C935" t="s">
        <v>26</v>
      </c>
      <c r="D935" t="s">
        <v>27</v>
      </c>
      <c r="E935" t="s">
        <v>177</v>
      </c>
      <c r="F935" t="s">
        <v>43</v>
      </c>
      <c r="G935">
        <v>46.77</v>
      </c>
      <c r="H935">
        <v>6</v>
      </c>
      <c r="I935">
        <v>14.031000000000001</v>
      </c>
      <c r="J935">
        <v>294.65100000000001</v>
      </c>
      <c r="K935" s="1">
        <v>43535</v>
      </c>
      <c r="L935" s="2">
        <v>0.56736111111111109</v>
      </c>
      <c r="M935" t="s">
        <v>29</v>
      </c>
      <c r="N935">
        <v>280.62</v>
      </c>
      <c r="O935">
        <v>4.7619047620000003</v>
      </c>
      <c r="P935">
        <v>14.031000000000001</v>
      </c>
      <c r="Q935">
        <v>6</v>
      </c>
      <c r="R935" s="3">
        <f t="shared" si="43"/>
        <v>43535.567361111112</v>
      </c>
      <c r="S935" t="str">
        <f t="shared" si="45"/>
        <v/>
      </c>
      <c r="T935" t="str">
        <f t="shared" si="44"/>
        <v/>
      </c>
    </row>
    <row r="936" spans="1:20">
      <c r="A936" t="s">
        <v>187</v>
      </c>
      <c r="B936" t="s">
        <v>25</v>
      </c>
      <c r="C936" t="s">
        <v>26</v>
      </c>
      <c r="D936" t="s">
        <v>20</v>
      </c>
      <c r="E936" t="s">
        <v>177</v>
      </c>
      <c r="F936" t="s">
        <v>35</v>
      </c>
      <c r="G936">
        <v>34.56</v>
      </c>
      <c r="H936">
        <v>7</v>
      </c>
      <c r="I936">
        <v>12.096</v>
      </c>
      <c r="J936">
        <v>254.01599999999999</v>
      </c>
      <c r="K936" s="1">
        <v>43535</v>
      </c>
      <c r="L936" s="2">
        <v>0.67152777777777772</v>
      </c>
      <c r="M936" t="s">
        <v>32</v>
      </c>
      <c r="N936">
        <v>241.92</v>
      </c>
      <c r="O936">
        <v>4.7619047620000003</v>
      </c>
      <c r="P936">
        <v>12.096</v>
      </c>
      <c r="Q936">
        <v>7.3</v>
      </c>
      <c r="R936" s="3">
        <f t="shared" si="43"/>
        <v>43535.671527777777</v>
      </c>
      <c r="S936">
        <f t="shared" si="45"/>
        <v>149.99999999650754</v>
      </c>
      <c r="T936">
        <f t="shared" si="44"/>
        <v>150</v>
      </c>
    </row>
    <row r="937" spans="1:20">
      <c r="A937" t="s">
        <v>354</v>
      </c>
      <c r="B937" t="s">
        <v>25</v>
      </c>
      <c r="C937" t="s">
        <v>26</v>
      </c>
      <c r="D937" t="s">
        <v>20</v>
      </c>
      <c r="E937" t="s">
        <v>21</v>
      </c>
      <c r="F937" t="s">
        <v>22</v>
      </c>
      <c r="G937">
        <v>29.67</v>
      </c>
      <c r="H937">
        <v>7</v>
      </c>
      <c r="I937">
        <v>10.384499999999999</v>
      </c>
      <c r="J937">
        <v>218.0745</v>
      </c>
      <c r="K937" s="1">
        <v>43535</v>
      </c>
      <c r="L937" s="2">
        <v>0.79027777777777775</v>
      </c>
      <c r="M937" t="s">
        <v>32</v>
      </c>
      <c r="N937">
        <v>207.69</v>
      </c>
      <c r="O937">
        <v>4.7619047620000003</v>
      </c>
      <c r="P937">
        <v>10.384499999999999</v>
      </c>
      <c r="Q937">
        <v>8.1</v>
      </c>
      <c r="R937" s="3">
        <f t="shared" si="43"/>
        <v>43535.790277777778</v>
      </c>
      <c r="S937">
        <f t="shared" si="45"/>
        <v>171.00000000209548</v>
      </c>
      <c r="T937">
        <f t="shared" si="44"/>
        <v>171</v>
      </c>
    </row>
    <row r="938" spans="1:20" hidden="1">
      <c r="A938" t="s">
        <v>363</v>
      </c>
      <c r="B938" t="s">
        <v>25</v>
      </c>
      <c r="C938" t="s">
        <v>26</v>
      </c>
      <c r="D938" t="s">
        <v>20</v>
      </c>
      <c r="E938" t="s">
        <v>177</v>
      </c>
      <c r="F938" t="s">
        <v>43</v>
      </c>
      <c r="G938">
        <v>94.26</v>
      </c>
      <c r="H938">
        <v>4</v>
      </c>
      <c r="I938">
        <v>18.852</v>
      </c>
      <c r="J938">
        <v>395.892</v>
      </c>
      <c r="K938" s="1">
        <v>43536</v>
      </c>
      <c r="L938" s="2">
        <v>0.6875</v>
      </c>
      <c r="M938" t="s">
        <v>29</v>
      </c>
      <c r="N938">
        <v>377.04</v>
      </c>
      <c r="O938">
        <v>4.7619047620000003</v>
      </c>
      <c r="P938">
        <v>18.852</v>
      </c>
      <c r="Q938">
        <v>8.6</v>
      </c>
      <c r="R938" s="3">
        <f t="shared" si="43"/>
        <v>43536.6875</v>
      </c>
      <c r="S938" t="str">
        <f t="shared" si="45"/>
        <v/>
      </c>
      <c r="T938" t="str">
        <f t="shared" si="44"/>
        <v/>
      </c>
    </row>
    <row r="939" spans="1:20">
      <c r="A939" t="s">
        <v>727</v>
      </c>
      <c r="B939" t="s">
        <v>25</v>
      </c>
      <c r="C939" t="s">
        <v>26</v>
      </c>
      <c r="D939" t="s">
        <v>20</v>
      </c>
      <c r="E939" t="s">
        <v>177</v>
      </c>
      <c r="F939" t="s">
        <v>43</v>
      </c>
      <c r="G939">
        <v>55.04</v>
      </c>
      <c r="H939">
        <v>7</v>
      </c>
      <c r="I939">
        <v>19.263999999999999</v>
      </c>
      <c r="J939">
        <v>404.54399999999998</v>
      </c>
      <c r="K939" s="1">
        <v>43536</v>
      </c>
      <c r="L939" s="2">
        <v>0.81874999999999998</v>
      </c>
      <c r="M939" t="s">
        <v>23</v>
      </c>
      <c r="N939">
        <v>385.28</v>
      </c>
      <c r="O939">
        <v>4.7619047620000003</v>
      </c>
      <c r="P939">
        <v>19.263999999999999</v>
      </c>
      <c r="Q939">
        <v>5.2</v>
      </c>
      <c r="R939" s="3">
        <f t="shared" si="43"/>
        <v>43536.818749999999</v>
      </c>
      <c r="S939">
        <f t="shared" si="45"/>
        <v>188.99999999790452</v>
      </c>
      <c r="T939">
        <f t="shared" si="44"/>
        <v>189</v>
      </c>
    </row>
    <row r="940" spans="1:20">
      <c r="A940" t="s">
        <v>234</v>
      </c>
      <c r="B940" t="s">
        <v>25</v>
      </c>
      <c r="C940" t="s">
        <v>26</v>
      </c>
      <c r="D940" t="s">
        <v>27</v>
      </c>
      <c r="E940" t="s">
        <v>177</v>
      </c>
      <c r="F940" t="s">
        <v>22</v>
      </c>
      <c r="G940">
        <v>41.5</v>
      </c>
      <c r="H940">
        <v>4</v>
      </c>
      <c r="I940">
        <v>8.3000000000000007</v>
      </c>
      <c r="J940">
        <v>174.3</v>
      </c>
      <c r="K940" s="1">
        <v>43536</v>
      </c>
      <c r="L940" s="2">
        <v>0.83194444444444449</v>
      </c>
      <c r="M940" t="s">
        <v>32</v>
      </c>
      <c r="N940">
        <v>166</v>
      </c>
      <c r="O940">
        <v>4.7619047620000003</v>
      </c>
      <c r="P940">
        <v>8.3000000000000007</v>
      </c>
      <c r="Q940">
        <v>8.1999999999999993</v>
      </c>
      <c r="R940" s="3">
        <f t="shared" si="43"/>
        <v>43536.831944444442</v>
      </c>
      <c r="S940">
        <f t="shared" si="45"/>
        <v>18.999999999068677</v>
      </c>
      <c r="T940">
        <f t="shared" si="44"/>
        <v>19</v>
      </c>
    </row>
    <row r="941" spans="1:20">
      <c r="A941" t="s">
        <v>437</v>
      </c>
      <c r="B941" t="s">
        <v>25</v>
      </c>
      <c r="C941" t="s">
        <v>26</v>
      </c>
      <c r="D941" t="s">
        <v>27</v>
      </c>
      <c r="E941" t="s">
        <v>177</v>
      </c>
      <c r="F941" t="s">
        <v>31</v>
      </c>
      <c r="G941">
        <v>46.22</v>
      </c>
      <c r="H941">
        <v>4</v>
      </c>
      <c r="I941">
        <v>9.2439999999999998</v>
      </c>
      <c r="J941">
        <v>194.124</v>
      </c>
      <c r="K941" s="1">
        <v>43536</v>
      </c>
      <c r="L941" s="2">
        <v>0.83611111111111114</v>
      </c>
      <c r="M941" t="s">
        <v>32</v>
      </c>
      <c r="N941">
        <v>184.88</v>
      </c>
      <c r="O941">
        <v>4.7619047620000003</v>
      </c>
      <c r="P941">
        <v>9.2439999999999998</v>
      </c>
      <c r="Q941">
        <v>6.2</v>
      </c>
      <c r="R941" s="3">
        <f t="shared" si="43"/>
        <v>43536.836111111108</v>
      </c>
      <c r="S941">
        <f t="shared" si="45"/>
        <v>5.9999999986030161</v>
      </c>
      <c r="T941">
        <f t="shared" si="44"/>
        <v>6</v>
      </c>
    </row>
    <row r="942" spans="1:20">
      <c r="A942" t="s">
        <v>94</v>
      </c>
      <c r="B942" t="s">
        <v>25</v>
      </c>
      <c r="C942" t="s">
        <v>26</v>
      </c>
      <c r="D942" t="s">
        <v>20</v>
      </c>
      <c r="E942" t="s">
        <v>21</v>
      </c>
      <c r="F942" t="s">
        <v>28</v>
      </c>
      <c r="G942">
        <v>30.61</v>
      </c>
      <c r="H942">
        <v>6</v>
      </c>
      <c r="I942">
        <v>9.1829999999999998</v>
      </c>
      <c r="J942">
        <v>192.84299999999999</v>
      </c>
      <c r="K942" s="1">
        <v>43536</v>
      </c>
      <c r="L942" s="2">
        <v>0.85833333333333328</v>
      </c>
      <c r="M942" t="s">
        <v>29</v>
      </c>
      <c r="N942">
        <v>183.66</v>
      </c>
      <c r="O942">
        <v>4.7619047620000003</v>
      </c>
      <c r="P942">
        <v>9.1829999999999998</v>
      </c>
      <c r="Q942">
        <v>9.3000000000000007</v>
      </c>
      <c r="R942" s="3">
        <f t="shared" si="43"/>
        <v>43536.85833333333</v>
      </c>
      <c r="S942">
        <f t="shared" si="45"/>
        <v>31.999999999534339</v>
      </c>
      <c r="T942">
        <f t="shared" si="44"/>
        <v>32</v>
      </c>
    </row>
    <row r="943" spans="1:20" hidden="1">
      <c r="A943" t="s">
        <v>924</v>
      </c>
      <c r="B943" t="s">
        <v>25</v>
      </c>
      <c r="C943" t="s">
        <v>26</v>
      </c>
      <c r="D943" t="s">
        <v>27</v>
      </c>
      <c r="E943" t="s">
        <v>21</v>
      </c>
      <c r="F943" t="s">
        <v>45</v>
      </c>
      <c r="G943">
        <v>12.19</v>
      </c>
      <c r="H943">
        <v>8</v>
      </c>
      <c r="I943">
        <v>4.8760000000000003</v>
      </c>
      <c r="J943">
        <v>102.396</v>
      </c>
      <c r="K943" s="1">
        <v>43537</v>
      </c>
      <c r="L943" s="2">
        <v>0.53263888888888888</v>
      </c>
      <c r="M943" t="s">
        <v>23</v>
      </c>
      <c r="N943">
        <v>97.52</v>
      </c>
      <c r="O943">
        <v>4.7619047620000003</v>
      </c>
      <c r="P943">
        <v>4.8760000000000003</v>
      </c>
      <c r="Q943">
        <v>6.8</v>
      </c>
      <c r="R943" s="3">
        <f t="shared" si="43"/>
        <v>43537.532638888886</v>
      </c>
      <c r="S943" t="str">
        <f t="shared" si="45"/>
        <v/>
      </c>
      <c r="T943" t="str">
        <f t="shared" si="44"/>
        <v/>
      </c>
    </row>
    <row r="944" spans="1:20">
      <c r="A944" t="s">
        <v>724</v>
      </c>
      <c r="B944" t="s">
        <v>25</v>
      </c>
      <c r="C944" t="s">
        <v>26</v>
      </c>
      <c r="D944" t="s">
        <v>20</v>
      </c>
      <c r="E944" t="s">
        <v>177</v>
      </c>
      <c r="F944" t="s">
        <v>35</v>
      </c>
      <c r="G944">
        <v>72.88</v>
      </c>
      <c r="H944">
        <v>2</v>
      </c>
      <c r="I944">
        <v>7.2880000000000003</v>
      </c>
      <c r="J944">
        <v>153.048</v>
      </c>
      <c r="K944" s="1">
        <v>43537</v>
      </c>
      <c r="L944" s="2">
        <v>0.53541666666666665</v>
      </c>
      <c r="M944" t="s">
        <v>29</v>
      </c>
      <c r="N944">
        <v>145.76</v>
      </c>
      <c r="O944">
        <v>4.7619047620000003</v>
      </c>
      <c r="P944">
        <v>7.2880000000000003</v>
      </c>
      <c r="Q944">
        <v>6.1</v>
      </c>
      <c r="R944" s="3">
        <f t="shared" si="43"/>
        <v>43537.535416666666</v>
      </c>
      <c r="S944">
        <f t="shared" si="45"/>
        <v>4.0000000025611371</v>
      </c>
      <c r="T944">
        <f t="shared" si="44"/>
        <v>4</v>
      </c>
    </row>
    <row r="945" spans="1:20">
      <c r="A945" t="s">
        <v>907</v>
      </c>
      <c r="B945" t="s">
        <v>25</v>
      </c>
      <c r="C945" t="s">
        <v>26</v>
      </c>
      <c r="D945" t="s">
        <v>27</v>
      </c>
      <c r="E945" t="s">
        <v>177</v>
      </c>
      <c r="F945" t="s">
        <v>45</v>
      </c>
      <c r="G945">
        <v>56.5</v>
      </c>
      <c r="H945">
        <v>1</v>
      </c>
      <c r="I945">
        <v>2.8250000000000002</v>
      </c>
      <c r="J945">
        <v>59.325000000000003</v>
      </c>
      <c r="K945" s="1">
        <v>43537</v>
      </c>
      <c r="L945" s="2">
        <v>0.65625</v>
      </c>
      <c r="M945" t="s">
        <v>23</v>
      </c>
      <c r="N945">
        <v>56.5</v>
      </c>
      <c r="O945">
        <v>4.7619047620000003</v>
      </c>
      <c r="P945">
        <v>2.8250000000000002</v>
      </c>
      <c r="Q945">
        <v>9.6</v>
      </c>
      <c r="R945" s="3">
        <f t="shared" si="43"/>
        <v>43537.65625</v>
      </c>
      <c r="S945">
        <f t="shared" si="45"/>
        <v>174.00000000139698</v>
      </c>
      <c r="T945">
        <f t="shared" si="44"/>
        <v>174</v>
      </c>
    </row>
    <row r="946" spans="1:20">
      <c r="A946" t="s">
        <v>158</v>
      </c>
      <c r="B946" t="s">
        <v>25</v>
      </c>
      <c r="C946" t="s">
        <v>26</v>
      </c>
      <c r="D946" t="s">
        <v>20</v>
      </c>
      <c r="E946" t="s">
        <v>21</v>
      </c>
      <c r="F946" t="s">
        <v>31</v>
      </c>
      <c r="G946">
        <v>63.91</v>
      </c>
      <c r="H946">
        <v>8</v>
      </c>
      <c r="I946">
        <v>25.564</v>
      </c>
      <c r="J946">
        <v>536.84400000000005</v>
      </c>
      <c r="K946" s="1">
        <v>43537</v>
      </c>
      <c r="L946" s="2">
        <v>0.82777777777777772</v>
      </c>
      <c r="M946" t="s">
        <v>32</v>
      </c>
      <c r="N946">
        <v>511.28</v>
      </c>
      <c r="O946">
        <v>4.7619047620000003</v>
      </c>
      <c r="P946">
        <v>25.564</v>
      </c>
      <c r="Q946">
        <v>4.5999999999999996</v>
      </c>
      <c r="R946" s="3">
        <f t="shared" si="43"/>
        <v>43537.827777777777</v>
      </c>
      <c r="S946">
        <f t="shared" si="45"/>
        <v>246.99999999837019</v>
      </c>
      <c r="T946">
        <f t="shared" si="44"/>
        <v>247</v>
      </c>
    </row>
    <row r="947" spans="1:20" hidden="1">
      <c r="A947" t="s">
        <v>624</v>
      </c>
      <c r="B947" t="s">
        <v>25</v>
      </c>
      <c r="C947" t="s">
        <v>26</v>
      </c>
      <c r="D947" t="s">
        <v>27</v>
      </c>
      <c r="E947" t="s">
        <v>177</v>
      </c>
      <c r="F947" t="s">
        <v>45</v>
      </c>
      <c r="G947">
        <v>59.61</v>
      </c>
      <c r="H947">
        <v>10</v>
      </c>
      <c r="I947">
        <v>29.805</v>
      </c>
      <c r="J947">
        <v>625.90499999999997</v>
      </c>
      <c r="K947" s="1">
        <v>43538</v>
      </c>
      <c r="L947" s="2">
        <v>0.46319444444444446</v>
      </c>
      <c r="M947" t="s">
        <v>29</v>
      </c>
      <c r="N947">
        <v>596.1</v>
      </c>
      <c r="O947">
        <v>4.7619047620000003</v>
      </c>
      <c r="P947">
        <v>29.805</v>
      </c>
      <c r="Q947">
        <v>5.3</v>
      </c>
      <c r="R947" s="3">
        <f t="shared" si="43"/>
        <v>43538.463194444441</v>
      </c>
      <c r="S947" t="str">
        <f t="shared" si="45"/>
        <v/>
      </c>
      <c r="T947" t="str">
        <f t="shared" si="44"/>
        <v/>
      </c>
    </row>
    <row r="948" spans="1:20">
      <c r="A948" t="s">
        <v>960</v>
      </c>
      <c r="B948" t="s">
        <v>25</v>
      </c>
      <c r="C948" t="s">
        <v>26</v>
      </c>
      <c r="D948" t="s">
        <v>20</v>
      </c>
      <c r="E948" t="s">
        <v>21</v>
      </c>
      <c r="F948" t="s">
        <v>35</v>
      </c>
      <c r="G948">
        <v>35.22</v>
      </c>
      <c r="H948">
        <v>6</v>
      </c>
      <c r="I948">
        <v>10.566000000000001</v>
      </c>
      <c r="J948">
        <v>221.886</v>
      </c>
      <c r="K948" s="1">
        <v>43538</v>
      </c>
      <c r="L948" s="2">
        <v>0.5756944444444444</v>
      </c>
      <c r="M948" t="s">
        <v>23</v>
      </c>
      <c r="N948">
        <v>211.32</v>
      </c>
      <c r="O948">
        <v>4.7619047620000003</v>
      </c>
      <c r="P948">
        <v>10.566000000000001</v>
      </c>
      <c r="Q948">
        <v>6.5</v>
      </c>
      <c r="R948" s="3">
        <f t="shared" si="43"/>
        <v>43538.575694444444</v>
      </c>
      <c r="S948">
        <f t="shared" si="45"/>
        <v>162.00000000419095</v>
      </c>
      <c r="T948">
        <f t="shared" si="44"/>
        <v>162</v>
      </c>
    </row>
    <row r="949" spans="1:20">
      <c r="A949" t="s">
        <v>952</v>
      </c>
      <c r="B949" t="s">
        <v>25</v>
      </c>
      <c r="C949" t="s">
        <v>26</v>
      </c>
      <c r="D949" t="s">
        <v>20</v>
      </c>
      <c r="E949" t="s">
        <v>177</v>
      </c>
      <c r="F949" t="s">
        <v>35</v>
      </c>
      <c r="G949">
        <v>42.85</v>
      </c>
      <c r="H949">
        <v>1</v>
      </c>
      <c r="I949">
        <v>2.1425000000000001</v>
      </c>
      <c r="J949">
        <v>44.9925</v>
      </c>
      <c r="K949" s="1">
        <v>43538</v>
      </c>
      <c r="L949" s="2">
        <v>0.65</v>
      </c>
      <c r="M949" t="s">
        <v>32</v>
      </c>
      <c r="N949">
        <v>42.85</v>
      </c>
      <c r="O949">
        <v>4.7619047620000003</v>
      </c>
      <c r="P949">
        <v>2.1425000000000001</v>
      </c>
      <c r="Q949">
        <v>9.3000000000000007</v>
      </c>
      <c r="R949" s="3">
        <f t="shared" si="43"/>
        <v>43538.65</v>
      </c>
      <c r="S949">
        <f t="shared" si="45"/>
        <v>107.0000000030268</v>
      </c>
      <c r="T949">
        <f t="shared" si="44"/>
        <v>107</v>
      </c>
    </row>
    <row r="950" spans="1:20">
      <c r="A950" t="s">
        <v>327</v>
      </c>
      <c r="B950" t="s">
        <v>25</v>
      </c>
      <c r="C950" t="s">
        <v>26</v>
      </c>
      <c r="D950" t="s">
        <v>27</v>
      </c>
      <c r="E950" t="s">
        <v>177</v>
      </c>
      <c r="F950" t="s">
        <v>28</v>
      </c>
      <c r="G950">
        <v>27.85</v>
      </c>
      <c r="H950">
        <v>7</v>
      </c>
      <c r="I950">
        <v>9.7475000000000005</v>
      </c>
      <c r="J950">
        <v>204.69749999999999</v>
      </c>
      <c r="K950" s="1">
        <v>43538</v>
      </c>
      <c r="L950" s="2">
        <v>0.72222222222222221</v>
      </c>
      <c r="M950" t="s">
        <v>23</v>
      </c>
      <c r="N950">
        <v>194.95</v>
      </c>
      <c r="O950">
        <v>4.7619047620000003</v>
      </c>
      <c r="P950">
        <v>9.7475000000000005</v>
      </c>
      <c r="Q950">
        <v>6</v>
      </c>
      <c r="R950" s="3">
        <f t="shared" si="43"/>
        <v>43538.722222222219</v>
      </c>
      <c r="S950">
        <f t="shared" si="45"/>
        <v>103.99999999324791</v>
      </c>
      <c r="T950">
        <f t="shared" si="44"/>
        <v>104</v>
      </c>
    </row>
    <row r="951" spans="1:20">
      <c r="A951" t="s">
        <v>302</v>
      </c>
      <c r="B951" t="s">
        <v>25</v>
      </c>
      <c r="C951" t="s">
        <v>26</v>
      </c>
      <c r="D951" t="s">
        <v>27</v>
      </c>
      <c r="E951" t="s">
        <v>177</v>
      </c>
      <c r="F951" t="s">
        <v>31</v>
      </c>
      <c r="G951">
        <v>35.47</v>
      </c>
      <c r="H951">
        <v>4</v>
      </c>
      <c r="I951">
        <v>7.0940000000000003</v>
      </c>
      <c r="J951">
        <v>148.97399999999999</v>
      </c>
      <c r="K951" s="1">
        <v>43538</v>
      </c>
      <c r="L951" s="2">
        <v>0.72361111111111109</v>
      </c>
      <c r="M951" t="s">
        <v>32</v>
      </c>
      <c r="N951">
        <v>141.88</v>
      </c>
      <c r="O951">
        <v>4.7619047620000003</v>
      </c>
      <c r="P951">
        <v>7.0940000000000003</v>
      </c>
      <c r="Q951">
        <v>6.9</v>
      </c>
      <c r="R951" s="3">
        <f t="shared" si="43"/>
        <v>43538.723611111112</v>
      </c>
      <c r="S951">
        <f t="shared" si="45"/>
        <v>2.000000006519258</v>
      </c>
      <c r="T951">
        <f t="shared" si="44"/>
        <v>2</v>
      </c>
    </row>
    <row r="952" spans="1:20">
      <c r="A952" t="s">
        <v>408</v>
      </c>
      <c r="B952" t="s">
        <v>25</v>
      </c>
      <c r="C952" t="s">
        <v>26</v>
      </c>
      <c r="D952" t="s">
        <v>27</v>
      </c>
      <c r="E952" t="s">
        <v>21</v>
      </c>
      <c r="F952" t="s">
        <v>31</v>
      </c>
      <c r="G952">
        <v>70.11</v>
      </c>
      <c r="H952">
        <v>6</v>
      </c>
      <c r="I952">
        <v>21.033000000000001</v>
      </c>
      <c r="J952">
        <v>441.69299999999998</v>
      </c>
      <c r="K952" s="1">
        <v>43538</v>
      </c>
      <c r="L952" s="2">
        <v>0.74583333333333335</v>
      </c>
      <c r="M952" t="s">
        <v>23</v>
      </c>
      <c r="N952">
        <v>420.66</v>
      </c>
      <c r="O952">
        <v>4.7619047620000003</v>
      </c>
      <c r="P952">
        <v>21.033000000000001</v>
      </c>
      <c r="Q952">
        <v>5.2</v>
      </c>
      <c r="R952" s="3">
        <f t="shared" si="43"/>
        <v>43538.745833333334</v>
      </c>
      <c r="S952">
        <f t="shared" si="45"/>
        <v>31.999999999534339</v>
      </c>
      <c r="T952">
        <f t="shared" si="44"/>
        <v>32</v>
      </c>
    </row>
    <row r="953" spans="1:20">
      <c r="A953" t="s">
        <v>653</v>
      </c>
      <c r="B953" t="s">
        <v>25</v>
      </c>
      <c r="C953" t="s">
        <v>26</v>
      </c>
      <c r="D953" t="s">
        <v>20</v>
      </c>
      <c r="E953" t="s">
        <v>177</v>
      </c>
      <c r="F953" t="s">
        <v>28</v>
      </c>
      <c r="G953">
        <v>87.91</v>
      </c>
      <c r="H953">
        <v>5</v>
      </c>
      <c r="I953">
        <v>21.977499999999999</v>
      </c>
      <c r="J953">
        <v>461.52749999999997</v>
      </c>
      <c r="K953" s="1">
        <v>43538</v>
      </c>
      <c r="L953" s="2">
        <v>0.75694444444444442</v>
      </c>
      <c r="M953" t="s">
        <v>23</v>
      </c>
      <c r="N953">
        <v>439.55</v>
      </c>
      <c r="O953">
        <v>4.7619047620000003</v>
      </c>
      <c r="P953">
        <v>21.977499999999999</v>
      </c>
      <c r="Q953">
        <v>4.4000000000000004</v>
      </c>
      <c r="R953" s="3">
        <f t="shared" si="43"/>
        <v>43538.756944444445</v>
      </c>
      <c r="S953">
        <f t="shared" si="45"/>
        <v>15.999999999767169</v>
      </c>
      <c r="T953">
        <f t="shared" si="44"/>
        <v>16</v>
      </c>
    </row>
    <row r="954" spans="1:20">
      <c r="A954" t="s">
        <v>402</v>
      </c>
      <c r="B954" t="s">
        <v>25</v>
      </c>
      <c r="C954" t="s">
        <v>26</v>
      </c>
      <c r="D954" t="s">
        <v>27</v>
      </c>
      <c r="E954" t="s">
        <v>21</v>
      </c>
      <c r="F954" t="s">
        <v>28</v>
      </c>
      <c r="G954">
        <v>51.32</v>
      </c>
      <c r="H954">
        <v>9</v>
      </c>
      <c r="I954">
        <v>23.094000000000001</v>
      </c>
      <c r="J954">
        <v>484.97399999999999</v>
      </c>
      <c r="K954" s="1">
        <v>43538</v>
      </c>
      <c r="L954" s="2">
        <v>0.81458333333333333</v>
      </c>
      <c r="M954" t="s">
        <v>29</v>
      </c>
      <c r="N954">
        <v>461.88</v>
      </c>
      <c r="O954">
        <v>4.7619047620000003</v>
      </c>
      <c r="P954">
        <v>23.094000000000001</v>
      </c>
      <c r="Q954">
        <v>5.6</v>
      </c>
      <c r="R954" s="3">
        <f t="shared" si="43"/>
        <v>43538.814583333333</v>
      </c>
      <c r="S954">
        <f t="shared" si="45"/>
        <v>82.999999998137355</v>
      </c>
      <c r="T954">
        <f t="shared" si="44"/>
        <v>83</v>
      </c>
    </row>
    <row r="955" spans="1:20">
      <c r="A955" t="s">
        <v>638</v>
      </c>
      <c r="B955" t="s">
        <v>25</v>
      </c>
      <c r="C955" t="s">
        <v>26</v>
      </c>
      <c r="D955" t="s">
        <v>27</v>
      </c>
      <c r="E955" t="s">
        <v>177</v>
      </c>
      <c r="F955" t="s">
        <v>43</v>
      </c>
      <c r="G955">
        <v>77.56</v>
      </c>
      <c r="H955">
        <v>10</v>
      </c>
      <c r="I955">
        <v>38.78</v>
      </c>
      <c r="J955">
        <v>814.38</v>
      </c>
      <c r="K955" s="1">
        <v>43538</v>
      </c>
      <c r="L955" s="2">
        <v>0.85763888888888884</v>
      </c>
      <c r="M955" t="s">
        <v>23</v>
      </c>
      <c r="N955">
        <v>775.6</v>
      </c>
      <c r="O955">
        <v>4.7619047620000003</v>
      </c>
      <c r="P955">
        <v>38.78</v>
      </c>
      <c r="Q955">
        <v>6.9</v>
      </c>
      <c r="R955" s="3">
        <f t="shared" si="43"/>
        <v>43538.857638888891</v>
      </c>
      <c r="S955">
        <f t="shared" si="45"/>
        <v>62.000000003026798</v>
      </c>
      <c r="T955">
        <f t="shared" si="44"/>
        <v>62</v>
      </c>
    </row>
    <row r="956" spans="1:20" hidden="1">
      <c r="A956" t="s">
        <v>911</v>
      </c>
      <c r="B956" t="s">
        <v>25</v>
      </c>
      <c r="C956" t="s">
        <v>26</v>
      </c>
      <c r="D956" t="s">
        <v>27</v>
      </c>
      <c r="E956" t="s">
        <v>177</v>
      </c>
      <c r="F956" t="s">
        <v>31</v>
      </c>
      <c r="G956">
        <v>65.260000000000005</v>
      </c>
      <c r="H956">
        <v>8</v>
      </c>
      <c r="I956">
        <v>26.103999999999999</v>
      </c>
      <c r="J956">
        <v>548.18399999999997</v>
      </c>
      <c r="K956" s="1">
        <v>43539</v>
      </c>
      <c r="L956" s="2">
        <v>0.58611111111111114</v>
      </c>
      <c r="M956" t="s">
        <v>23</v>
      </c>
      <c r="N956">
        <v>522.08000000000004</v>
      </c>
      <c r="O956">
        <v>4.7619047620000003</v>
      </c>
      <c r="P956">
        <v>26.103999999999999</v>
      </c>
      <c r="Q956">
        <v>6.3</v>
      </c>
      <c r="R956" s="3">
        <f t="shared" si="43"/>
        <v>43539.586111111108</v>
      </c>
      <c r="S956" t="str">
        <f t="shared" si="45"/>
        <v/>
      </c>
      <c r="T956" t="str">
        <f t="shared" si="44"/>
        <v/>
      </c>
    </row>
    <row r="957" spans="1:20" hidden="1">
      <c r="A957" t="s">
        <v>764</v>
      </c>
      <c r="B957" t="s">
        <v>25</v>
      </c>
      <c r="C957" t="s">
        <v>26</v>
      </c>
      <c r="D957" t="s">
        <v>27</v>
      </c>
      <c r="E957" t="s">
        <v>177</v>
      </c>
      <c r="F957" t="s">
        <v>45</v>
      </c>
      <c r="G957">
        <v>97.26</v>
      </c>
      <c r="H957">
        <v>4</v>
      </c>
      <c r="I957">
        <v>19.452000000000002</v>
      </c>
      <c r="J957">
        <v>408.49200000000002</v>
      </c>
      <c r="K957" s="1">
        <v>43540</v>
      </c>
      <c r="L957" s="2">
        <v>0.6479166666666667</v>
      </c>
      <c r="M957" t="s">
        <v>23</v>
      </c>
      <c r="N957">
        <v>389.04</v>
      </c>
      <c r="O957">
        <v>4.7619047620000003</v>
      </c>
      <c r="P957">
        <v>19.452000000000002</v>
      </c>
      <c r="Q957">
        <v>6.8</v>
      </c>
      <c r="R957" s="3">
        <f t="shared" si="43"/>
        <v>43540.647916666669</v>
      </c>
      <c r="S957" t="str">
        <f t="shared" si="45"/>
        <v/>
      </c>
      <c r="T957" t="str">
        <f t="shared" si="44"/>
        <v/>
      </c>
    </row>
    <row r="958" spans="1:20">
      <c r="A958" t="s">
        <v>228</v>
      </c>
      <c r="B958" t="s">
        <v>25</v>
      </c>
      <c r="C958" t="s">
        <v>26</v>
      </c>
      <c r="D958" t="s">
        <v>27</v>
      </c>
      <c r="E958" t="s">
        <v>21</v>
      </c>
      <c r="F958" t="s">
        <v>43</v>
      </c>
      <c r="G958">
        <v>87.8</v>
      </c>
      <c r="H958">
        <v>9</v>
      </c>
      <c r="I958">
        <v>39.51</v>
      </c>
      <c r="J958">
        <v>829.71</v>
      </c>
      <c r="K958" s="1">
        <v>43540</v>
      </c>
      <c r="L958" s="2">
        <v>0.79722222222222228</v>
      </c>
      <c r="M958" t="s">
        <v>29</v>
      </c>
      <c r="N958">
        <v>790.2</v>
      </c>
      <c r="O958">
        <v>4.7619047620000003</v>
      </c>
      <c r="P958">
        <v>39.51</v>
      </c>
      <c r="Q958">
        <v>9.1999999999999993</v>
      </c>
      <c r="R958" s="3">
        <f t="shared" si="43"/>
        <v>43540.797222222223</v>
      </c>
      <c r="S958">
        <f t="shared" si="45"/>
        <v>214.99999999883585</v>
      </c>
      <c r="T958">
        <f t="shared" si="44"/>
        <v>215</v>
      </c>
    </row>
    <row r="959" spans="1:20">
      <c r="A959" t="s">
        <v>79</v>
      </c>
      <c r="B959" t="s">
        <v>25</v>
      </c>
      <c r="C959" t="s">
        <v>26</v>
      </c>
      <c r="D959" t="s">
        <v>20</v>
      </c>
      <c r="E959" t="s">
        <v>21</v>
      </c>
      <c r="F959" t="s">
        <v>22</v>
      </c>
      <c r="G959">
        <v>15.37</v>
      </c>
      <c r="H959">
        <v>2</v>
      </c>
      <c r="I959">
        <v>1.5369999999999999</v>
      </c>
      <c r="J959">
        <v>32.277000000000001</v>
      </c>
      <c r="K959" s="1">
        <v>43540</v>
      </c>
      <c r="L959" s="2">
        <v>0.82430555555555551</v>
      </c>
      <c r="M959" t="s">
        <v>29</v>
      </c>
      <c r="N959">
        <v>30.74</v>
      </c>
      <c r="O959">
        <v>4.7619047620000003</v>
      </c>
      <c r="P959">
        <v>1.5369999999999999</v>
      </c>
      <c r="Q959">
        <v>7.2</v>
      </c>
      <c r="R959" s="3">
        <f t="shared" si="43"/>
        <v>43540.824305555558</v>
      </c>
      <c r="S959">
        <f t="shared" si="45"/>
        <v>39.000000001396984</v>
      </c>
      <c r="T959">
        <f t="shared" si="44"/>
        <v>39</v>
      </c>
    </row>
    <row r="960" spans="1:20" hidden="1">
      <c r="A960" t="s">
        <v>499</v>
      </c>
      <c r="B960" t="s">
        <v>25</v>
      </c>
      <c r="C960" t="s">
        <v>26</v>
      </c>
      <c r="D960" t="s">
        <v>20</v>
      </c>
      <c r="E960" t="s">
        <v>21</v>
      </c>
      <c r="F960" t="s">
        <v>43</v>
      </c>
      <c r="G960">
        <v>22.62</v>
      </c>
      <c r="H960">
        <v>1</v>
      </c>
      <c r="I960">
        <v>1.131</v>
      </c>
      <c r="J960">
        <v>23.751000000000001</v>
      </c>
      <c r="K960" s="1">
        <v>43541</v>
      </c>
      <c r="L960" s="2">
        <v>0.79027777777777775</v>
      </c>
      <c r="M960" t="s">
        <v>29</v>
      </c>
      <c r="N960">
        <v>22.62</v>
      </c>
      <c r="O960">
        <v>4.7619047620000003</v>
      </c>
      <c r="P960">
        <v>1.131</v>
      </c>
      <c r="Q960">
        <v>6.4</v>
      </c>
      <c r="R960" s="3">
        <f t="shared" si="43"/>
        <v>43541.790277777778</v>
      </c>
      <c r="S960" t="str">
        <f t="shared" si="45"/>
        <v/>
      </c>
      <c r="T960" t="str">
        <f t="shared" si="44"/>
        <v/>
      </c>
    </row>
    <row r="961" spans="1:20">
      <c r="A961" t="s">
        <v>287</v>
      </c>
      <c r="B961" t="s">
        <v>25</v>
      </c>
      <c r="C961" t="s">
        <v>26</v>
      </c>
      <c r="D961" t="s">
        <v>20</v>
      </c>
      <c r="E961" t="s">
        <v>177</v>
      </c>
      <c r="F961" t="s">
        <v>45</v>
      </c>
      <c r="G961">
        <v>35.19</v>
      </c>
      <c r="H961">
        <v>10</v>
      </c>
      <c r="I961">
        <v>17.594999999999999</v>
      </c>
      <c r="J961">
        <v>369.495</v>
      </c>
      <c r="K961" s="1">
        <v>43541</v>
      </c>
      <c r="L961" s="2">
        <v>0.79583333333333328</v>
      </c>
      <c r="M961" t="s">
        <v>32</v>
      </c>
      <c r="N961">
        <v>351.9</v>
      </c>
      <c r="O961">
        <v>4.7619047620000003</v>
      </c>
      <c r="P961">
        <v>17.594999999999999</v>
      </c>
      <c r="Q961">
        <v>8.4</v>
      </c>
      <c r="R961" s="3">
        <f t="shared" si="43"/>
        <v>43541.79583333333</v>
      </c>
      <c r="S961">
        <f t="shared" si="45"/>
        <v>7.9999999946448952</v>
      </c>
      <c r="T961">
        <f t="shared" si="44"/>
        <v>8</v>
      </c>
    </row>
    <row r="962" spans="1:20" hidden="1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3">
        <f t="shared" ref="R962:R1001" si="46">K962+L962</f>
        <v>43542.645138888889</v>
      </c>
      <c r="S962" t="str">
        <f t="shared" si="45"/>
        <v/>
      </c>
      <c r="T962" t="str">
        <f t="shared" si="44"/>
        <v/>
      </c>
    </row>
    <row r="963" spans="1:20">
      <c r="A963" t="s">
        <v>551</v>
      </c>
      <c r="B963" t="s">
        <v>25</v>
      </c>
      <c r="C963" t="s">
        <v>26</v>
      </c>
      <c r="D963" t="s">
        <v>20</v>
      </c>
      <c r="E963" t="s">
        <v>21</v>
      </c>
      <c r="F963" t="s">
        <v>45</v>
      </c>
      <c r="G963">
        <v>51.47</v>
      </c>
      <c r="H963">
        <v>1</v>
      </c>
      <c r="I963">
        <v>2.5735000000000001</v>
      </c>
      <c r="J963">
        <v>54.043500000000002</v>
      </c>
      <c r="K963" s="1">
        <v>43542</v>
      </c>
      <c r="L963" s="2">
        <v>0.66111111111111109</v>
      </c>
      <c r="M963" t="s">
        <v>23</v>
      </c>
      <c r="N963">
        <v>51.47</v>
      </c>
      <c r="O963">
        <v>4.7619047620000003</v>
      </c>
      <c r="P963">
        <v>2.5735000000000001</v>
      </c>
      <c r="Q963">
        <v>8.5</v>
      </c>
      <c r="R963" s="3">
        <f t="shared" si="46"/>
        <v>43542.661111111112</v>
      </c>
      <c r="S963">
        <f t="shared" si="45"/>
        <v>23.000000001629815</v>
      </c>
      <c r="T963">
        <f t="shared" ref="T963:T1001" si="47">IF(S963="","",ROUND(S963,2))</f>
        <v>23</v>
      </c>
    </row>
    <row r="964" spans="1:20">
      <c r="A964" t="s">
        <v>243</v>
      </c>
      <c r="B964" t="s">
        <v>25</v>
      </c>
      <c r="C964" t="s">
        <v>26</v>
      </c>
      <c r="D964" t="s">
        <v>20</v>
      </c>
      <c r="E964" t="s">
        <v>21</v>
      </c>
      <c r="F964" t="s">
        <v>31</v>
      </c>
      <c r="G964">
        <v>28.53</v>
      </c>
      <c r="H964">
        <v>10</v>
      </c>
      <c r="I964">
        <v>14.265000000000001</v>
      </c>
      <c r="J964">
        <v>299.565</v>
      </c>
      <c r="K964" s="1">
        <v>43542</v>
      </c>
      <c r="L964" s="2">
        <v>0.73472222222222228</v>
      </c>
      <c r="M964" t="s">
        <v>23</v>
      </c>
      <c r="N964">
        <v>285.3</v>
      </c>
      <c r="O964">
        <v>4.7619047620000003</v>
      </c>
      <c r="P964">
        <v>14.265000000000001</v>
      </c>
      <c r="Q964">
        <v>7.8</v>
      </c>
      <c r="R964" s="3">
        <f t="shared" si="46"/>
        <v>43542.734722222223</v>
      </c>
      <c r="S964">
        <f t="shared" si="45"/>
        <v>105.99999999976717</v>
      </c>
      <c r="T964">
        <f t="shared" si="47"/>
        <v>106</v>
      </c>
    </row>
    <row r="965" spans="1:20" hidden="1">
      <c r="A965" t="s">
        <v>673</v>
      </c>
      <c r="B965" t="s">
        <v>25</v>
      </c>
      <c r="C965" t="s">
        <v>26</v>
      </c>
      <c r="D965" t="s">
        <v>27</v>
      </c>
      <c r="E965" t="s">
        <v>21</v>
      </c>
      <c r="F965" t="s">
        <v>28</v>
      </c>
      <c r="G965">
        <v>46.2</v>
      </c>
      <c r="H965">
        <v>1</v>
      </c>
      <c r="I965">
        <v>2.31</v>
      </c>
      <c r="J965">
        <v>48.51</v>
      </c>
      <c r="K965" s="1">
        <v>43543</v>
      </c>
      <c r="L965" s="2">
        <v>0.51111111111111107</v>
      </c>
      <c r="M965" t="s">
        <v>29</v>
      </c>
      <c r="N965">
        <v>46.2</v>
      </c>
      <c r="O965">
        <v>4.7619047620000003</v>
      </c>
      <c r="P965">
        <v>2.31</v>
      </c>
      <c r="Q965">
        <v>6.3</v>
      </c>
      <c r="R965" s="3">
        <f t="shared" si="46"/>
        <v>43543.511111111111</v>
      </c>
      <c r="S965" t="str">
        <f t="shared" si="45"/>
        <v/>
      </c>
      <c r="T965" t="str">
        <f t="shared" si="47"/>
        <v/>
      </c>
    </row>
    <row r="966" spans="1:20">
      <c r="A966" t="s">
        <v>183</v>
      </c>
      <c r="B966" t="s">
        <v>25</v>
      </c>
      <c r="C966" t="s">
        <v>26</v>
      </c>
      <c r="D966" t="s">
        <v>27</v>
      </c>
      <c r="E966" t="s">
        <v>177</v>
      </c>
      <c r="F966" t="s">
        <v>22</v>
      </c>
      <c r="G966">
        <v>66.14</v>
      </c>
      <c r="H966">
        <v>4</v>
      </c>
      <c r="I966">
        <v>13.228</v>
      </c>
      <c r="J966">
        <v>277.78800000000001</v>
      </c>
      <c r="K966" s="1">
        <v>43543</v>
      </c>
      <c r="L966" s="2">
        <v>0.53194444444444444</v>
      </c>
      <c r="M966" t="s">
        <v>32</v>
      </c>
      <c r="N966">
        <v>264.56</v>
      </c>
      <c r="O966">
        <v>4.7619047620000003</v>
      </c>
      <c r="P966">
        <v>13.228</v>
      </c>
      <c r="Q966">
        <v>5.6</v>
      </c>
      <c r="R966" s="3">
        <f t="shared" si="46"/>
        <v>43543.531944444447</v>
      </c>
      <c r="S966">
        <f t="shared" si="45"/>
        <v>30.00000000349246</v>
      </c>
      <c r="T966">
        <f t="shared" si="47"/>
        <v>30</v>
      </c>
    </row>
    <row r="967" spans="1:20">
      <c r="A967" t="s">
        <v>417</v>
      </c>
      <c r="B967" t="s">
        <v>25</v>
      </c>
      <c r="C967" t="s">
        <v>26</v>
      </c>
      <c r="D967" t="s">
        <v>27</v>
      </c>
      <c r="E967" t="s">
        <v>21</v>
      </c>
      <c r="F967" t="s">
        <v>28</v>
      </c>
      <c r="G967">
        <v>26.61</v>
      </c>
      <c r="H967">
        <v>2</v>
      </c>
      <c r="I967">
        <v>2.661</v>
      </c>
      <c r="J967">
        <v>55.881</v>
      </c>
      <c r="K967" s="1">
        <v>43543</v>
      </c>
      <c r="L967" s="2">
        <v>0.60763888888888884</v>
      </c>
      <c r="M967" t="s">
        <v>29</v>
      </c>
      <c r="N967">
        <v>53.22</v>
      </c>
      <c r="O967">
        <v>4.7619047620000003</v>
      </c>
      <c r="P967">
        <v>2.661</v>
      </c>
      <c r="Q967">
        <v>4.2</v>
      </c>
      <c r="R967" s="3">
        <f t="shared" si="46"/>
        <v>43543.607638888891</v>
      </c>
      <c r="S967">
        <f t="shared" si="45"/>
        <v>108.99999999906868</v>
      </c>
      <c r="T967">
        <f t="shared" si="47"/>
        <v>109</v>
      </c>
    </row>
    <row r="968" spans="1:20">
      <c r="A968" t="s">
        <v>677</v>
      </c>
      <c r="B968" t="s">
        <v>25</v>
      </c>
      <c r="C968" t="s">
        <v>26</v>
      </c>
      <c r="D968" t="s">
        <v>20</v>
      </c>
      <c r="E968" t="s">
        <v>21</v>
      </c>
      <c r="F968" t="s">
        <v>28</v>
      </c>
      <c r="G968">
        <v>88.55</v>
      </c>
      <c r="H968">
        <v>8</v>
      </c>
      <c r="I968">
        <v>35.42</v>
      </c>
      <c r="J968">
        <v>743.82</v>
      </c>
      <c r="K968" s="1">
        <v>43543</v>
      </c>
      <c r="L968" s="2">
        <v>0.64513888888888893</v>
      </c>
      <c r="M968" t="s">
        <v>23</v>
      </c>
      <c r="N968">
        <v>708.4</v>
      </c>
      <c r="O968">
        <v>4.7619047620000003</v>
      </c>
      <c r="P968">
        <v>35.42</v>
      </c>
      <c r="Q968">
        <v>4.7</v>
      </c>
      <c r="R968" s="3">
        <f t="shared" si="46"/>
        <v>43543.645138888889</v>
      </c>
      <c r="S968">
        <f t="shared" si="45"/>
        <v>53.999999997904524</v>
      </c>
      <c r="T968">
        <f t="shared" si="47"/>
        <v>54</v>
      </c>
    </row>
    <row r="969" spans="1:20">
      <c r="A969" t="s">
        <v>747</v>
      </c>
      <c r="B969" t="s">
        <v>25</v>
      </c>
      <c r="C969" t="s">
        <v>26</v>
      </c>
      <c r="D969" t="s">
        <v>20</v>
      </c>
      <c r="E969" t="s">
        <v>21</v>
      </c>
      <c r="F969" t="s">
        <v>31</v>
      </c>
      <c r="G969">
        <v>75.53</v>
      </c>
      <c r="H969">
        <v>4</v>
      </c>
      <c r="I969">
        <v>15.106</v>
      </c>
      <c r="J969">
        <v>317.226</v>
      </c>
      <c r="K969" s="1">
        <v>43543</v>
      </c>
      <c r="L969" s="2">
        <v>0.66111111111111109</v>
      </c>
      <c r="M969" t="s">
        <v>23</v>
      </c>
      <c r="N969">
        <v>302.12</v>
      </c>
      <c r="O969">
        <v>4.7619047620000003</v>
      </c>
      <c r="P969">
        <v>15.106</v>
      </c>
      <c r="Q969">
        <v>8.3000000000000007</v>
      </c>
      <c r="R969" s="3">
        <f t="shared" si="46"/>
        <v>43543.661111111112</v>
      </c>
      <c r="S969">
        <f t="shared" si="45"/>
        <v>23.000000001629815</v>
      </c>
      <c r="T969">
        <f t="shared" si="47"/>
        <v>23</v>
      </c>
    </row>
    <row r="970" spans="1:20">
      <c r="A970" t="s">
        <v>84</v>
      </c>
      <c r="B970" t="s">
        <v>25</v>
      </c>
      <c r="C970" t="s">
        <v>26</v>
      </c>
      <c r="D970" t="s">
        <v>20</v>
      </c>
      <c r="E970" t="s">
        <v>21</v>
      </c>
      <c r="F970" t="s">
        <v>45</v>
      </c>
      <c r="G970">
        <v>82.63</v>
      </c>
      <c r="H970">
        <v>10</v>
      </c>
      <c r="I970">
        <v>41.314999999999998</v>
      </c>
      <c r="J970">
        <v>867.61500000000001</v>
      </c>
      <c r="K970" s="1">
        <v>43543</v>
      </c>
      <c r="L970" s="2">
        <v>0.71388888888888891</v>
      </c>
      <c r="M970" t="s">
        <v>23</v>
      </c>
      <c r="N970">
        <v>826.3</v>
      </c>
      <c r="O970">
        <v>4.7619047620000003</v>
      </c>
      <c r="P970">
        <v>41.314999999999998</v>
      </c>
      <c r="Q970">
        <v>7.9</v>
      </c>
      <c r="R970" s="3">
        <f t="shared" si="46"/>
        <v>43543.713888888888</v>
      </c>
      <c r="S970">
        <f t="shared" si="45"/>
        <v>75.99999999627471</v>
      </c>
      <c r="T970">
        <f t="shared" si="47"/>
        <v>76</v>
      </c>
    </row>
    <row r="971" spans="1:20">
      <c r="A971" t="s">
        <v>471</v>
      </c>
      <c r="B971" t="s">
        <v>25</v>
      </c>
      <c r="C971" t="s">
        <v>26</v>
      </c>
      <c r="D971" t="s">
        <v>27</v>
      </c>
      <c r="E971" t="s">
        <v>177</v>
      </c>
      <c r="F971" t="s">
        <v>35</v>
      </c>
      <c r="G971">
        <v>99.24</v>
      </c>
      <c r="H971">
        <v>9</v>
      </c>
      <c r="I971">
        <v>44.658000000000001</v>
      </c>
      <c r="J971">
        <v>937.81799999999998</v>
      </c>
      <c r="K971" s="1">
        <v>43543</v>
      </c>
      <c r="L971" s="2">
        <v>0.79791666666666672</v>
      </c>
      <c r="M971" t="s">
        <v>23</v>
      </c>
      <c r="N971">
        <v>893.16</v>
      </c>
      <c r="O971">
        <v>4.7619047620000003</v>
      </c>
      <c r="P971">
        <v>44.658000000000001</v>
      </c>
      <c r="Q971">
        <v>9</v>
      </c>
      <c r="R971" s="3">
        <f t="shared" si="46"/>
        <v>43543.79791666667</v>
      </c>
      <c r="S971">
        <f t="shared" si="45"/>
        <v>121.00000000675209</v>
      </c>
      <c r="T971">
        <f t="shared" si="47"/>
        <v>121</v>
      </c>
    </row>
    <row r="972" spans="1:20" hidden="1">
      <c r="A972" t="s">
        <v>557</v>
      </c>
      <c r="B972" t="s">
        <v>25</v>
      </c>
      <c r="C972" t="s">
        <v>26</v>
      </c>
      <c r="D972" t="s">
        <v>20</v>
      </c>
      <c r="E972" t="s">
        <v>21</v>
      </c>
      <c r="F972" t="s">
        <v>31</v>
      </c>
      <c r="G972">
        <v>83.17</v>
      </c>
      <c r="H972">
        <v>6</v>
      </c>
      <c r="I972">
        <v>24.951000000000001</v>
      </c>
      <c r="J972">
        <v>523.971</v>
      </c>
      <c r="K972" s="1">
        <v>43544</v>
      </c>
      <c r="L972" s="2">
        <v>0.47430555555555554</v>
      </c>
      <c r="M972" t="s">
        <v>29</v>
      </c>
      <c r="N972">
        <v>499.02</v>
      </c>
      <c r="O972">
        <v>4.7619047620000003</v>
      </c>
      <c r="P972">
        <v>24.951000000000001</v>
      </c>
      <c r="Q972">
        <v>7.3</v>
      </c>
      <c r="R972" s="3">
        <f t="shared" si="46"/>
        <v>43544.474305555559</v>
      </c>
      <c r="S972" t="str">
        <f t="shared" si="45"/>
        <v/>
      </c>
      <c r="T972" t="str">
        <f t="shared" si="47"/>
        <v/>
      </c>
    </row>
    <row r="973" spans="1:20">
      <c r="A973" t="s">
        <v>314</v>
      </c>
      <c r="B973" t="s">
        <v>25</v>
      </c>
      <c r="C973" t="s">
        <v>26</v>
      </c>
      <c r="D973" t="s">
        <v>20</v>
      </c>
      <c r="E973" t="s">
        <v>177</v>
      </c>
      <c r="F973" t="s">
        <v>45</v>
      </c>
      <c r="G973">
        <v>70.989999999999995</v>
      </c>
      <c r="H973">
        <v>10</v>
      </c>
      <c r="I973">
        <v>35.494999999999997</v>
      </c>
      <c r="J973">
        <v>745.39499999999998</v>
      </c>
      <c r="K973" s="1">
        <v>43544</v>
      </c>
      <c r="L973" s="2">
        <v>0.68611111111111112</v>
      </c>
      <c r="M973" t="s">
        <v>29</v>
      </c>
      <c r="N973">
        <v>709.9</v>
      </c>
      <c r="O973">
        <v>4.7619047620000003</v>
      </c>
      <c r="P973">
        <v>35.494999999999997</v>
      </c>
      <c r="Q973">
        <v>5.7</v>
      </c>
      <c r="R973" s="3">
        <f t="shared" si="46"/>
        <v>43544.686111111114</v>
      </c>
      <c r="S973">
        <f t="shared" si="45"/>
        <v>304.99999999883585</v>
      </c>
      <c r="T973">
        <f t="shared" si="47"/>
        <v>305</v>
      </c>
    </row>
    <row r="974" spans="1:20">
      <c r="A974" t="s">
        <v>814</v>
      </c>
      <c r="B974" t="s">
        <v>25</v>
      </c>
      <c r="C974" t="s">
        <v>26</v>
      </c>
      <c r="D974" t="s">
        <v>20</v>
      </c>
      <c r="E974" t="s">
        <v>177</v>
      </c>
      <c r="F974" t="s">
        <v>35</v>
      </c>
      <c r="G974">
        <v>25.25</v>
      </c>
      <c r="H974">
        <v>5</v>
      </c>
      <c r="I974">
        <v>6.3125</v>
      </c>
      <c r="J974">
        <v>132.5625</v>
      </c>
      <c r="K974" s="1">
        <v>43544</v>
      </c>
      <c r="L974" s="2">
        <v>0.74444444444444446</v>
      </c>
      <c r="M974" t="s">
        <v>29</v>
      </c>
      <c r="N974">
        <v>126.25</v>
      </c>
      <c r="O974">
        <v>4.7619047620000003</v>
      </c>
      <c r="P974">
        <v>6.3125</v>
      </c>
      <c r="Q974">
        <v>6.1</v>
      </c>
      <c r="R974" s="3">
        <f t="shared" si="46"/>
        <v>43544.744444444441</v>
      </c>
      <c r="S974">
        <f t="shared" si="45"/>
        <v>83.999999990919605</v>
      </c>
      <c r="T974">
        <f t="shared" si="47"/>
        <v>84</v>
      </c>
    </row>
    <row r="975" spans="1:20" hidden="1">
      <c r="A975" t="s">
        <v>975</v>
      </c>
      <c r="B975" t="s">
        <v>25</v>
      </c>
      <c r="C975" t="s">
        <v>26</v>
      </c>
      <c r="D975" t="s">
        <v>27</v>
      </c>
      <c r="E975" t="s">
        <v>21</v>
      </c>
      <c r="F975" t="s">
        <v>43</v>
      </c>
      <c r="G975">
        <v>57.29</v>
      </c>
      <c r="H975">
        <v>6</v>
      </c>
      <c r="I975">
        <v>17.187000000000001</v>
      </c>
      <c r="J975">
        <v>360.92700000000002</v>
      </c>
      <c r="K975" s="1">
        <v>43545</v>
      </c>
      <c r="L975" s="2">
        <v>0.71111111111111114</v>
      </c>
      <c r="M975" t="s">
        <v>23</v>
      </c>
      <c r="N975">
        <v>343.74</v>
      </c>
      <c r="O975">
        <v>4.7619047620000003</v>
      </c>
      <c r="P975">
        <v>17.187000000000001</v>
      </c>
      <c r="Q975">
        <v>5.9</v>
      </c>
      <c r="R975" s="3">
        <f t="shared" si="46"/>
        <v>43545.711111111108</v>
      </c>
      <c r="S975" t="str">
        <f t="shared" si="45"/>
        <v/>
      </c>
      <c r="T975" t="str">
        <f t="shared" si="47"/>
        <v/>
      </c>
    </row>
    <row r="976" spans="1:20" hidden="1">
      <c r="A976" t="s">
        <v>776</v>
      </c>
      <c r="B976" t="s">
        <v>25</v>
      </c>
      <c r="C976" t="s">
        <v>26</v>
      </c>
      <c r="D976" t="s">
        <v>27</v>
      </c>
      <c r="E976" t="s">
        <v>177</v>
      </c>
      <c r="F976" t="s">
        <v>31</v>
      </c>
      <c r="G976">
        <v>55.61</v>
      </c>
      <c r="H976">
        <v>7</v>
      </c>
      <c r="I976">
        <v>19.4635</v>
      </c>
      <c r="J976">
        <v>408.73349999999999</v>
      </c>
      <c r="K976" s="1">
        <v>43547</v>
      </c>
      <c r="L976" s="2">
        <v>0.52847222222222223</v>
      </c>
      <c r="M976" t="s">
        <v>29</v>
      </c>
      <c r="N976">
        <v>389.27</v>
      </c>
      <c r="O976">
        <v>4.7619047620000003</v>
      </c>
      <c r="P976">
        <v>19.4635</v>
      </c>
      <c r="Q976">
        <v>8.5</v>
      </c>
      <c r="R976" s="3">
        <f t="shared" si="46"/>
        <v>43547.52847222222</v>
      </c>
      <c r="S976" t="str">
        <f t="shared" si="45"/>
        <v/>
      </c>
      <c r="T976" t="str">
        <f t="shared" si="47"/>
        <v/>
      </c>
    </row>
    <row r="977" spans="1:20">
      <c r="A977" t="s">
        <v>838</v>
      </c>
      <c r="B977" t="s">
        <v>25</v>
      </c>
      <c r="C977" t="s">
        <v>26</v>
      </c>
      <c r="D977" t="s">
        <v>20</v>
      </c>
      <c r="E977" t="s">
        <v>177</v>
      </c>
      <c r="F977" t="s">
        <v>45</v>
      </c>
      <c r="G977">
        <v>67.39</v>
      </c>
      <c r="H977">
        <v>7</v>
      </c>
      <c r="I977">
        <v>23.586500000000001</v>
      </c>
      <c r="J977">
        <v>495.31650000000002</v>
      </c>
      <c r="K977" s="1">
        <v>43547</v>
      </c>
      <c r="L977" s="2">
        <v>0.55763888888888891</v>
      </c>
      <c r="M977" t="s">
        <v>23</v>
      </c>
      <c r="N977">
        <v>471.73</v>
      </c>
      <c r="O977">
        <v>4.7619047620000003</v>
      </c>
      <c r="P977">
        <v>23.586500000000001</v>
      </c>
      <c r="Q977">
        <v>6.9</v>
      </c>
      <c r="R977" s="3">
        <f t="shared" si="46"/>
        <v>43547.557638888888</v>
      </c>
      <c r="S977">
        <f t="shared" ref="S977:S1001" si="48">IF(K977=K976, (R977-R976)*1440, "")</f>
        <v>42.000000000698492</v>
      </c>
      <c r="T977">
        <f t="shared" si="47"/>
        <v>42</v>
      </c>
    </row>
    <row r="978" spans="1:20">
      <c r="A978" t="s">
        <v>73</v>
      </c>
      <c r="B978" t="s">
        <v>25</v>
      </c>
      <c r="C978" t="s">
        <v>26</v>
      </c>
      <c r="D978" t="s">
        <v>20</v>
      </c>
      <c r="E978" t="s">
        <v>21</v>
      </c>
      <c r="F978" t="s">
        <v>22</v>
      </c>
      <c r="G978">
        <v>54.92</v>
      </c>
      <c r="H978">
        <v>8</v>
      </c>
      <c r="I978">
        <v>21.968</v>
      </c>
      <c r="J978">
        <v>461.32799999999997</v>
      </c>
      <c r="K978" s="1">
        <v>43547</v>
      </c>
      <c r="L978" s="2">
        <v>0.55833333333333335</v>
      </c>
      <c r="M978" t="s">
        <v>23</v>
      </c>
      <c r="N978">
        <v>439.36</v>
      </c>
      <c r="O978">
        <v>4.7619047620000003</v>
      </c>
      <c r="P978">
        <v>21.968</v>
      </c>
      <c r="Q978">
        <v>7.6</v>
      </c>
      <c r="R978" s="3">
        <f t="shared" si="46"/>
        <v>43547.558333333334</v>
      </c>
      <c r="S978">
        <f t="shared" si="48"/>
        <v>1.000000003259629</v>
      </c>
      <c r="T978">
        <f t="shared" si="47"/>
        <v>1</v>
      </c>
    </row>
    <row r="979" spans="1:20">
      <c r="A979" t="s">
        <v>772</v>
      </c>
      <c r="B979" t="s">
        <v>25</v>
      </c>
      <c r="C979" t="s">
        <v>26</v>
      </c>
      <c r="D979" t="s">
        <v>20</v>
      </c>
      <c r="E979" t="s">
        <v>21</v>
      </c>
      <c r="F979" t="s">
        <v>31</v>
      </c>
      <c r="G979">
        <v>81.2</v>
      </c>
      <c r="H979">
        <v>7</v>
      </c>
      <c r="I979">
        <v>28.42</v>
      </c>
      <c r="J979">
        <v>596.82000000000005</v>
      </c>
      <c r="K979" s="1">
        <v>43547</v>
      </c>
      <c r="L979" s="2">
        <v>0.66597222222222219</v>
      </c>
      <c r="M979" t="s">
        <v>32</v>
      </c>
      <c r="N979">
        <v>568.4</v>
      </c>
      <c r="O979">
        <v>4.7619047620000003</v>
      </c>
      <c r="P979">
        <v>28.42</v>
      </c>
      <c r="Q979">
        <v>8.1</v>
      </c>
      <c r="R979" s="3">
        <f t="shared" si="46"/>
        <v>43547.665972222225</v>
      </c>
      <c r="S979">
        <f t="shared" si="48"/>
        <v>155.00000000232831</v>
      </c>
      <c r="T979">
        <f t="shared" si="47"/>
        <v>155</v>
      </c>
    </row>
    <row r="980" spans="1:20" hidden="1">
      <c r="A980" t="s">
        <v>143</v>
      </c>
      <c r="B980" t="s">
        <v>25</v>
      </c>
      <c r="C980" t="s">
        <v>26</v>
      </c>
      <c r="D980" t="s">
        <v>20</v>
      </c>
      <c r="E980" t="s">
        <v>21</v>
      </c>
      <c r="F980" t="s">
        <v>43</v>
      </c>
      <c r="G980">
        <v>33.979999999999997</v>
      </c>
      <c r="H980">
        <v>9</v>
      </c>
      <c r="I980">
        <v>15.291</v>
      </c>
      <c r="J980">
        <v>321.11099999999999</v>
      </c>
      <c r="K980" s="1">
        <v>43548</v>
      </c>
      <c r="L980" s="2">
        <v>0.4465277777777778</v>
      </c>
      <c r="M980" t="s">
        <v>29</v>
      </c>
      <c r="N980">
        <v>305.82</v>
      </c>
      <c r="O980">
        <v>4.7619047620000003</v>
      </c>
      <c r="P980">
        <v>15.291</v>
      </c>
      <c r="Q980">
        <v>4.2</v>
      </c>
      <c r="R980" s="3">
        <f t="shared" si="46"/>
        <v>43548.446527777778</v>
      </c>
      <c r="S980" t="str">
        <f t="shared" si="48"/>
        <v/>
      </c>
      <c r="T980" t="str">
        <f t="shared" si="47"/>
        <v/>
      </c>
    </row>
    <row r="981" spans="1:20">
      <c r="A981" t="s">
        <v>370</v>
      </c>
      <c r="B981" t="s">
        <v>25</v>
      </c>
      <c r="C981" t="s">
        <v>26</v>
      </c>
      <c r="D981" t="s">
        <v>20</v>
      </c>
      <c r="E981" t="s">
        <v>177</v>
      </c>
      <c r="F981" t="s">
        <v>35</v>
      </c>
      <c r="G981">
        <v>14.7</v>
      </c>
      <c r="H981">
        <v>5</v>
      </c>
      <c r="I981">
        <v>3.6749999999999998</v>
      </c>
      <c r="J981">
        <v>77.174999999999997</v>
      </c>
      <c r="K981" s="1">
        <v>43548</v>
      </c>
      <c r="L981" s="2">
        <v>0.57499999999999996</v>
      </c>
      <c r="M981" t="s">
        <v>23</v>
      </c>
      <c r="N981">
        <v>73.5</v>
      </c>
      <c r="O981">
        <v>4.7619047620000003</v>
      </c>
      <c r="P981">
        <v>3.6749999999999998</v>
      </c>
      <c r="Q981">
        <v>8.5</v>
      </c>
      <c r="R981" s="3">
        <f t="shared" si="46"/>
        <v>43548.574999999997</v>
      </c>
      <c r="S981">
        <f t="shared" si="48"/>
        <v>184.99999999534339</v>
      </c>
      <c r="T981">
        <f t="shared" si="47"/>
        <v>185</v>
      </c>
    </row>
    <row r="982" spans="1:20">
      <c r="A982" t="s">
        <v>322</v>
      </c>
      <c r="B982" t="s">
        <v>25</v>
      </c>
      <c r="C982" t="s">
        <v>26</v>
      </c>
      <c r="D982" t="s">
        <v>20</v>
      </c>
      <c r="E982" t="s">
        <v>177</v>
      </c>
      <c r="F982" t="s">
        <v>31</v>
      </c>
      <c r="G982">
        <v>74.86</v>
      </c>
      <c r="H982">
        <v>1</v>
      </c>
      <c r="I982">
        <v>3.7429999999999999</v>
      </c>
      <c r="J982">
        <v>78.602999999999994</v>
      </c>
      <c r="K982" s="1">
        <v>43548</v>
      </c>
      <c r="L982" s="2">
        <v>0.61736111111111114</v>
      </c>
      <c r="M982" t="s">
        <v>29</v>
      </c>
      <c r="N982">
        <v>74.86</v>
      </c>
      <c r="O982">
        <v>4.7619047620000003</v>
      </c>
      <c r="P982">
        <v>3.7429999999999999</v>
      </c>
      <c r="Q982">
        <v>6.9</v>
      </c>
      <c r="R982" s="3">
        <f t="shared" si="46"/>
        <v>43548.617361111108</v>
      </c>
      <c r="S982">
        <f t="shared" si="48"/>
        <v>60.999999999767169</v>
      </c>
      <c r="T982">
        <f t="shared" si="47"/>
        <v>61</v>
      </c>
    </row>
    <row r="983" spans="1:20">
      <c r="A983" t="s">
        <v>941</v>
      </c>
      <c r="B983" t="s">
        <v>25</v>
      </c>
      <c r="C983" t="s">
        <v>26</v>
      </c>
      <c r="D983" t="s">
        <v>20</v>
      </c>
      <c r="E983" t="s">
        <v>21</v>
      </c>
      <c r="F983" t="s">
        <v>31</v>
      </c>
      <c r="G983">
        <v>78.38</v>
      </c>
      <c r="H983">
        <v>4</v>
      </c>
      <c r="I983">
        <v>15.676</v>
      </c>
      <c r="J983">
        <v>329.19600000000003</v>
      </c>
      <c r="K983" s="1">
        <v>43548</v>
      </c>
      <c r="L983" s="2">
        <v>0.74722222222222223</v>
      </c>
      <c r="M983" t="s">
        <v>29</v>
      </c>
      <c r="N983">
        <v>313.52</v>
      </c>
      <c r="O983">
        <v>4.7619047620000003</v>
      </c>
      <c r="P983">
        <v>15.676</v>
      </c>
      <c r="Q983">
        <v>7.9</v>
      </c>
      <c r="R983" s="3">
        <f t="shared" si="46"/>
        <v>43548.74722222222</v>
      </c>
      <c r="S983">
        <f t="shared" si="48"/>
        <v>187.00000000186265</v>
      </c>
      <c r="T983">
        <f t="shared" si="47"/>
        <v>187</v>
      </c>
    </row>
    <row r="984" spans="1:20">
      <c r="A984" t="s">
        <v>864</v>
      </c>
      <c r="B984" t="s">
        <v>25</v>
      </c>
      <c r="C984" t="s">
        <v>26</v>
      </c>
      <c r="D984" t="s">
        <v>27</v>
      </c>
      <c r="E984" t="s">
        <v>177</v>
      </c>
      <c r="F984" t="s">
        <v>28</v>
      </c>
      <c r="G984">
        <v>64.95</v>
      </c>
      <c r="H984">
        <v>10</v>
      </c>
      <c r="I984">
        <v>32.475000000000001</v>
      </c>
      <c r="J984">
        <v>681.97500000000002</v>
      </c>
      <c r="K984" s="1">
        <v>43548</v>
      </c>
      <c r="L984" s="2">
        <v>0.76875000000000004</v>
      </c>
      <c r="M984" t="s">
        <v>29</v>
      </c>
      <c r="N984">
        <v>649.5</v>
      </c>
      <c r="O984">
        <v>4.7619047620000003</v>
      </c>
      <c r="P984">
        <v>32.475000000000001</v>
      </c>
      <c r="Q984">
        <v>5.2</v>
      </c>
      <c r="R984" s="3">
        <f t="shared" si="46"/>
        <v>43548.768750000003</v>
      </c>
      <c r="S984">
        <f t="shared" si="48"/>
        <v>31.000000006752089</v>
      </c>
      <c r="T984">
        <f t="shared" si="47"/>
        <v>31</v>
      </c>
    </row>
    <row r="985" spans="1:20" hidden="1">
      <c r="A985" t="s">
        <v>121</v>
      </c>
      <c r="B985" t="s">
        <v>25</v>
      </c>
      <c r="C985" t="s">
        <v>26</v>
      </c>
      <c r="D985" t="s">
        <v>20</v>
      </c>
      <c r="E985" t="s">
        <v>21</v>
      </c>
      <c r="F985" t="s">
        <v>45</v>
      </c>
      <c r="G985">
        <v>76.52</v>
      </c>
      <c r="H985">
        <v>5</v>
      </c>
      <c r="I985">
        <v>19.13</v>
      </c>
      <c r="J985">
        <v>401.73</v>
      </c>
      <c r="K985" s="1">
        <v>43549</v>
      </c>
      <c r="L985" s="2">
        <v>0.43263888888888891</v>
      </c>
      <c r="M985" t="s">
        <v>29</v>
      </c>
      <c r="N985">
        <v>382.6</v>
      </c>
      <c r="O985">
        <v>4.7619047620000003</v>
      </c>
      <c r="P985">
        <v>19.13</v>
      </c>
      <c r="Q985">
        <v>9.9</v>
      </c>
      <c r="R985" s="3">
        <f t="shared" si="46"/>
        <v>43549.432638888888</v>
      </c>
      <c r="S985" t="str">
        <f t="shared" si="48"/>
        <v/>
      </c>
      <c r="T985" t="str">
        <f t="shared" si="47"/>
        <v/>
      </c>
    </row>
    <row r="986" spans="1:20">
      <c r="A986" t="s">
        <v>36</v>
      </c>
      <c r="B986" t="s">
        <v>25</v>
      </c>
      <c r="C986" t="s">
        <v>26</v>
      </c>
      <c r="D986" t="s">
        <v>20</v>
      </c>
      <c r="E986" t="s">
        <v>21</v>
      </c>
      <c r="F986" t="s">
        <v>28</v>
      </c>
      <c r="G986">
        <v>85.39</v>
      </c>
      <c r="H986">
        <v>7</v>
      </c>
      <c r="I986">
        <v>29.886500000000002</v>
      </c>
      <c r="J986">
        <v>627.61649999999997</v>
      </c>
      <c r="K986" s="1">
        <v>43549</v>
      </c>
      <c r="L986" s="2">
        <v>0.77083333333333337</v>
      </c>
      <c r="M986" t="s">
        <v>23</v>
      </c>
      <c r="N986">
        <v>597.73</v>
      </c>
      <c r="O986">
        <v>4.7619047620000003</v>
      </c>
      <c r="P986">
        <v>29.886500000000002</v>
      </c>
      <c r="Q986">
        <v>4.0999999999999996</v>
      </c>
      <c r="R986" s="3">
        <f t="shared" si="46"/>
        <v>43549.770833333336</v>
      </c>
      <c r="S986">
        <f t="shared" si="48"/>
        <v>487.0000000053551</v>
      </c>
      <c r="T986">
        <f t="shared" si="47"/>
        <v>487</v>
      </c>
    </row>
    <row r="987" spans="1:20">
      <c r="A987" t="s">
        <v>436</v>
      </c>
      <c r="B987" t="s">
        <v>25</v>
      </c>
      <c r="C987" t="s">
        <v>26</v>
      </c>
      <c r="D987" t="s">
        <v>27</v>
      </c>
      <c r="E987" t="s">
        <v>21</v>
      </c>
      <c r="F987" t="s">
        <v>43</v>
      </c>
      <c r="G987">
        <v>39.43</v>
      </c>
      <c r="H987">
        <v>6</v>
      </c>
      <c r="I987">
        <v>11.829000000000001</v>
      </c>
      <c r="J987">
        <v>248.40899999999999</v>
      </c>
      <c r="K987" s="1">
        <v>43549</v>
      </c>
      <c r="L987" s="2">
        <v>0.84583333333333333</v>
      </c>
      <c r="M987" t="s">
        <v>32</v>
      </c>
      <c r="N987">
        <v>236.58</v>
      </c>
      <c r="O987">
        <v>4.7619047620000003</v>
      </c>
      <c r="P987">
        <v>11.829000000000001</v>
      </c>
      <c r="Q987">
        <v>9.4</v>
      </c>
      <c r="R987" s="3">
        <f t="shared" si="46"/>
        <v>43549.845833333333</v>
      </c>
      <c r="S987">
        <f t="shared" si="48"/>
        <v>107.99999999580905</v>
      </c>
      <c r="T987">
        <f t="shared" si="47"/>
        <v>108</v>
      </c>
    </row>
    <row r="988" spans="1:20" hidden="1">
      <c r="A988" t="s">
        <v>569</v>
      </c>
      <c r="B988" t="s">
        <v>25</v>
      </c>
      <c r="C988" t="s">
        <v>26</v>
      </c>
      <c r="D988" t="s">
        <v>27</v>
      </c>
      <c r="E988" t="s">
        <v>21</v>
      </c>
      <c r="F988" t="s">
        <v>43</v>
      </c>
      <c r="G988">
        <v>16.309999999999999</v>
      </c>
      <c r="H988">
        <v>9</v>
      </c>
      <c r="I988">
        <v>7.3395000000000001</v>
      </c>
      <c r="J988">
        <v>154.12950000000001</v>
      </c>
      <c r="K988" s="1">
        <v>43550</v>
      </c>
      <c r="L988" s="2">
        <v>0.43819444444444444</v>
      </c>
      <c r="M988" t="s">
        <v>23</v>
      </c>
      <c r="N988">
        <v>146.79</v>
      </c>
      <c r="O988">
        <v>4.7619047620000003</v>
      </c>
      <c r="P988">
        <v>7.3395000000000001</v>
      </c>
      <c r="Q988">
        <v>8.4</v>
      </c>
      <c r="R988" s="3">
        <f t="shared" si="46"/>
        <v>43550.438194444447</v>
      </c>
      <c r="S988" t="str">
        <f t="shared" si="48"/>
        <v/>
      </c>
      <c r="T988" t="str">
        <f t="shared" si="47"/>
        <v/>
      </c>
    </row>
    <row r="989" spans="1:20">
      <c r="A989" t="s">
        <v>982</v>
      </c>
      <c r="B989" t="s">
        <v>25</v>
      </c>
      <c r="C989" t="s">
        <v>26</v>
      </c>
      <c r="D989" t="s">
        <v>20</v>
      </c>
      <c r="E989" t="s">
        <v>177</v>
      </c>
      <c r="F989" t="s">
        <v>28</v>
      </c>
      <c r="G989">
        <v>84.25</v>
      </c>
      <c r="H989">
        <v>2</v>
      </c>
      <c r="I989">
        <v>8.4250000000000007</v>
      </c>
      <c r="J989">
        <v>176.92500000000001</v>
      </c>
      <c r="K989" s="1">
        <v>43550</v>
      </c>
      <c r="L989" s="2">
        <v>0.59236111111111112</v>
      </c>
      <c r="M989" t="s">
        <v>32</v>
      </c>
      <c r="N989">
        <v>168.5</v>
      </c>
      <c r="O989">
        <v>4.7619047620000003</v>
      </c>
      <c r="P989">
        <v>8.4250000000000007</v>
      </c>
      <c r="Q989">
        <v>5.3</v>
      </c>
      <c r="R989" s="3">
        <f t="shared" si="46"/>
        <v>43550.592361111114</v>
      </c>
      <c r="S989">
        <f t="shared" si="48"/>
        <v>222.00000000069849</v>
      </c>
      <c r="T989">
        <f t="shared" si="47"/>
        <v>222</v>
      </c>
    </row>
    <row r="990" spans="1:20">
      <c r="A990" t="s">
        <v>232</v>
      </c>
      <c r="B990" t="s">
        <v>25</v>
      </c>
      <c r="C990" t="s">
        <v>26</v>
      </c>
      <c r="D990" t="s">
        <v>20</v>
      </c>
      <c r="E990" t="s">
        <v>177</v>
      </c>
      <c r="F990" t="s">
        <v>22</v>
      </c>
      <c r="G990">
        <v>43.7</v>
      </c>
      <c r="H990">
        <v>2</v>
      </c>
      <c r="I990">
        <v>4.37</v>
      </c>
      <c r="J990">
        <v>91.77</v>
      </c>
      <c r="K990" s="1">
        <v>43550</v>
      </c>
      <c r="L990" s="2">
        <v>0.75208333333333333</v>
      </c>
      <c r="M990" t="s">
        <v>29</v>
      </c>
      <c r="N990">
        <v>87.4</v>
      </c>
      <c r="O990">
        <v>4.7619047620000003</v>
      </c>
      <c r="P990">
        <v>4.37</v>
      </c>
      <c r="Q990">
        <v>4.9000000000000004</v>
      </c>
      <c r="R990" s="3">
        <f t="shared" si="46"/>
        <v>43550.752083333333</v>
      </c>
      <c r="S990">
        <f t="shared" si="48"/>
        <v>229.99999999534339</v>
      </c>
      <c r="T990">
        <f t="shared" si="47"/>
        <v>230</v>
      </c>
    </row>
    <row r="991" spans="1:20">
      <c r="A991" t="s">
        <v>135</v>
      </c>
      <c r="B991" t="s">
        <v>25</v>
      </c>
      <c r="C991" t="s">
        <v>26</v>
      </c>
      <c r="D991" t="s">
        <v>20</v>
      </c>
      <c r="E991" t="s">
        <v>21</v>
      </c>
      <c r="F991" t="s">
        <v>45</v>
      </c>
      <c r="G991">
        <v>48.71</v>
      </c>
      <c r="H991">
        <v>1</v>
      </c>
      <c r="I991">
        <v>2.4355000000000002</v>
      </c>
      <c r="J991">
        <v>51.145499999999998</v>
      </c>
      <c r="K991" s="1">
        <v>43550</v>
      </c>
      <c r="L991" s="2">
        <v>0.80555555555555558</v>
      </c>
      <c r="M991" t="s">
        <v>29</v>
      </c>
      <c r="N991">
        <v>48.71</v>
      </c>
      <c r="O991">
        <v>4.7619047620000003</v>
      </c>
      <c r="P991">
        <v>2.4355000000000002</v>
      </c>
      <c r="Q991">
        <v>4.0999999999999996</v>
      </c>
      <c r="R991" s="3">
        <f t="shared" si="46"/>
        <v>43550.805555555555</v>
      </c>
      <c r="S991">
        <f t="shared" si="48"/>
        <v>76.999999999534339</v>
      </c>
      <c r="T991">
        <f t="shared" si="47"/>
        <v>77</v>
      </c>
    </row>
    <row r="992" spans="1:20" hidden="1">
      <c r="A992" t="s">
        <v>977</v>
      </c>
      <c r="B992" t="s">
        <v>25</v>
      </c>
      <c r="C992" t="s">
        <v>26</v>
      </c>
      <c r="D992" t="s">
        <v>20</v>
      </c>
      <c r="E992" t="s">
        <v>177</v>
      </c>
      <c r="F992" t="s">
        <v>45</v>
      </c>
      <c r="G992">
        <v>99.82</v>
      </c>
      <c r="H992">
        <v>9</v>
      </c>
      <c r="I992">
        <v>44.918999999999997</v>
      </c>
      <c r="J992">
        <v>943.29899999999998</v>
      </c>
      <c r="K992" s="1">
        <v>43551</v>
      </c>
      <c r="L992" s="2">
        <v>0.4465277777777778</v>
      </c>
      <c r="M992" t="s">
        <v>29</v>
      </c>
      <c r="N992">
        <v>898.38</v>
      </c>
      <c r="O992">
        <v>4.7619047620000003</v>
      </c>
      <c r="P992">
        <v>44.918999999999997</v>
      </c>
      <c r="Q992">
        <v>6.6</v>
      </c>
      <c r="R992" s="3">
        <f t="shared" si="46"/>
        <v>43551.446527777778</v>
      </c>
      <c r="S992" t="str">
        <f t="shared" si="48"/>
        <v/>
      </c>
      <c r="T992" t="str">
        <f t="shared" si="47"/>
        <v/>
      </c>
    </row>
    <row r="993" spans="1:20" hidden="1">
      <c r="A993" t="s">
        <v>374</v>
      </c>
      <c r="B993" t="s">
        <v>25</v>
      </c>
      <c r="C993" t="s">
        <v>26</v>
      </c>
      <c r="D993" t="s">
        <v>27</v>
      </c>
      <c r="E993" t="s">
        <v>21</v>
      </c>
      <c r="F993" t="s">
        <v>28</v>
      </c>
      <c r="G993">
        <v>47.65</v>
      </c>
      <c r="H993">
        <v>3</v>
      </c>
      <c r="I993">
        <v>7.1475</v>
      </c>
      <c r="J993">
        <v>150.0975</v>
      </c>
      <c r="K993" s="1">
        <v>43552</v>
      </c>
      <c r="L993" s="2">
        <v>0.54027777777777775</v>
      </c>
      <c r="M993" t="s">
        <v>32</v>
      </c>
      <c r="N993">
        <v>142.94999999999999</v>
      </c>
      <c r="O993">
        <v>4.7619047620000003</v>
      </c>
      <c r="P993">
        <v>7.1475</v>
      </c>
      <c r="Q993">
        <v>9.5</v>
      </c>
      <c r="R993" s="3">
        <f t="shared" si="46"/>
        <v>43552.540277777778</v>
      </c>
      <c r="S993" t="str">
        <f t="shared" si="48"/>
        <v/>
      </c>
      <c r="T993" t="str">
        <f t="shared" si="47"/>
        <v/>
      </c>
    </row>
    <row r="994" spans="1:20">
      <c r="A994" t="s">
        <v>456</v>
      </c>
      <c r="B994" t="s">
        <v>25</v>
      </c>
      <c r="C994" t="s">
        <v>26</v>
      </c>
      <c r="D994" t="s">
        <v>20</v>
      </c>
      <c r="E994" t="s">
        <v>21</v>
      </c>
      <c r="F994" t="s">
        <v>43</v>
      </c>
      <c r="G994">
        <v>38.6</v>
      </c>
      <c r="H994">
        <v>3</v>
      </c>
      <c r="I994">
        <v>5.79</v>
      </c>
      <c r="J994">
        <v>121.59</v>
      </c>
      <c r="K994" s="1">
        <v>43552</v>
      </c>
      <c r="L994" s="2">
        <v>0.58125000000000004</v>
      </c>
      <c r="M994" t="s">
        <v>23</v>
      </c>
      <c r="N994">
        <v>115.8</v>
      </c>
      <c r="O994">
        <v>4.7619047620000003</v>
      </c>
      <c r="P994">
        <v>5.79</v>
      </c>
      <c r="Q994">
        <v>7.5</v>
      </c>
      <c r="R994" s="3">
        <f t="shared" si="46"/>
        <v>43552.581250000003</v>
      </c>
      <c r="S994">
        <f t="shared" si="48"/>
        <v>59.00000000372529</v>
      </c>
      <c r="T994">
        <f t="shared" si="47"/>
        <v>59</v>
      </c>
    </row>
    <row r="995" spans="1:20">
      <c r="A995" t="s">
        <v>643</v>
      </c>
      <c r="B995" t="s">
        <v>25</v>
      </c>
      <c r="C995" t="s">
        <v>26</v>
      </c>
      <c r="D995" t="s">
        <v>20</v>
      </c>
      <c r="E995" t="s">
        <v>21</v>
      </c>
      <c r="F995" t="s">
        <v>43</v>
      </c>
      <c r="G995">
        <v>49.79</v>
      </c>
      <c r="H995">
        <v>4</v>
      </c>
      <c r="I995">
        <v>9.9580000000000002</v>
      </c>
      <c r="J995">
        <v>209.11799999999999</v>
      </c>
      <c r="K995" s="1">
        <v>43552</v>
      </c>
      <c r="L995" s="2">
        <v>0.80277777777777781</v>
      </c>
      <c r="M995" t="s">
        <v>32</v>
      </c>
      <c r="N995">
        <v>199.16</v>
      </c>
      <c r="O995">
        <v>4.7619047620000003</v>
      </c>
      <c r="P995">
        <v>9.9580000000000002</v>
      </c>
      <c r="Q995">
        <v>6.4</v>
      </c>
      <c r="R995" s="3">
        <f t="shared" si="46"/>
        <v>43552.802777777775</v>
      </c>
      <c r="S995">
        <f t="shared" si="48"/>
        <v>318.99999999208376</v>
      </c>
      <c r="T995">
        <f t="shared" si="47"/>
        <v>319</v>
      </c>
    </row>
    <row r="996" spans="1:20" hidden="1">
      <c r="A996" t="s">
        <v>332</v>
      </c>
      <c r="B996" t="s">
        <v>25</v>
      </c>
      <c r="C996" t="s">
        <v>26</v>
      </c>
      <c r="D996" t="s">
        <v>27</v>
      </c>
      <c r="E996" t="s">
        <v>177</v>
      </c>
      <c r="F996" t="s">
        <v>28</v>
      </c>
      <c r="G996">
        <v>28.84</v>
      </c>
      <c r="H996">
        <v>4</v>
      </c>
      <c r="I996">
        <v>5.7679999999999998</v>
      </c>
      <c r="J996">
        <v>121.128</v>
      </c>
      <c r="K996" s="1">
        <v>43553</v>
      </c>
      <c r="L996" s="2">
        <v>0.61388888888888893</v>
      </c>
      <c r="M996" t="s">
        <v>29</v>
      </c>
      <c r="N996">
        <v>115.36</v>
      </c>
      <c r="O996">
        <v>4.7619047620000003</v>
      </c>
      <c r="P996">
        <v>5.7679999999999998</v>
      </c>
      <c r="Q996">
        <v>6.4</v>
      </c>
      <c r="R996" s="3">
        <f t="shared" si="46"/>
        <v>43553.613888888889</v>
      </c>
      <c r="S996" t="str">
        <f t="shared" si="48"/>
        <v/>
      </c>
      <c r="T996" t="str">
        <f t="shared" si="47"/>
        <v/>
      </c>
    </row>
    <row r="997" spans="1:20">
      <c r="A997" t="s">
        <v>1024</v>
      </c>
      <c r="B997" t="s">
        <v>25</v>
      </c>
      <c r="C997" t="s">
        <v>26</v>
      </c>
      <c r="D997" t="s">
        <v>20</v>
      </c>
      <c r="E997" t="s">
        <v>177</v>
      </c>
      <c r="F997" t="s">
        <v>28</v>
      </c>
      <c r="G997">
        <v>82.34</v>
      </c>
      <c r="H997">
        <v>10</v>
      </c>
      <c r="I997">
        <v>41.17</v>
      </c>
      <c r="J997">
        <v>864.57</v>
      </c>
      <c r="K997" s="1">
        <v>43553</v>
      </c>
      <c r="L997" s="2">
        <v>0.8</v>
      </c>
      <c r="M997" t="s">
        <v>23</v>
      </c>
      <c r="N997">
        <v>823.4</v>
      </c>
      <c r="O997">
        <v>4.7619047620000003</v>
      </c>
      <c r="P997">
        <v>41.17</v>
      </c>
      <c r="Q997">
        <v>4.3</v>
      </c>
      <c r="R997" s="3">
        <f t="shared" si="46"/>
        <v>43553.8</v>
      </c>
      <c r="S997">
        <f t="shared" si="48"/>
        <v>268.00000000395812</v>
      </c>
      <c r="T997">
        <f t="shared" si="47"/>
        <v>268</v>
      </c>
    </row>
    <row r="998" spans="1:20" hidden="1">
      <c r="A998" t="s">
        <v>917</v>
      </c>
      <c r="B998" t="s">
        <v>25</v>
      </c>
      <c r="C998" t="s">
        <v>26</v>
      </c>
      <c r="D998" t="s">
        <v>20</v>
      </c>
      <c r="E998" t="s">
        <v>21</v>
      </c>
      <c r="F998" t="s">
        <v>45</v>
      </c>
      <c r="G998">
        <v>10.18</v>
      </c>
      <c r="H998">
        <v>8</v>
      </c>
      <c r="I998">
        <v>4.0720000000000001</v>
      </c>
      <c r="J998">
        <v>85.512</v>
      </c>
      <c r="K998" s="1">
        <v>43554</v>
      </c>
      <c r="L998" s="2">
        <v>0.53541666666666665</v>
      </c>
      <c r="M998" t="s">
        <v>32</v>
      </c>
      <c r="N998">
        <v>81.44</v>
      </c>
      <c r="O998">
        <v>4.7619047620000003</v>
      </c>
      <c r="P998">
        <v>4.0720000000000001</v>
      </c>
      <c r="Q998">
        <v>9.5</v>
      </c>
      <c r="R998" s="3">
        <f t="shared" si="46"/>
        <v>43554.535416666666</v>
      </c>
      <c r="S998" t="str">
        <f t="shared" si="48"/>
        <v/>
      </c>
      <c r="T998" t="str">
        <f t="shared" si="47"/>
        <v/>
      </c>
    </row>
    <row r="999" spans="1:20">
      <c r="A999" t="s">
        <v>682</v>
      </c>
      <c r="B999" t="s">
        <v>25</v>
      </c>
      <c r="C999" t="s">
        <v>26</v>
      </c>
      <c r="D999" t="s">
        <v>27</v>
      </c>
      <c r="E999" t="s">
        <v>177</v>
      </c>
      <c r="F999" t="s">
        <v>22</v>
      </c>
      <c r="G999">
        <v>70.209999999999994</v>
      </c>
      <c r="H999">
        <v>6</v>
      </c>
      <c r="I999">
        <v>21.062999999999999</v>
      </c>
      <c r="J999">
        <v>442.32299999999998</v>
      </c>
      <c r="K999" s="1">
        <v>43554</v>
      </c>
      <c r="L999" s="2">
        <v>0.62361111111111112</v>
      </c>
      <c r="M999" t="s">
        <v>29</v>
      </c>
      <c r="N999">
        <v>421.26</v>
      </c>
      <c r="O999">
        <v>4.7619047620000003</v>
      </c>
      <c r="P999">
        <v>21.062999999999999</v>
      </c>
      <c r="Q999">
        <v>7.4</v>
      </c>
      <c r="R999" s="3">
        <f t="shared" si="46"/>
        <v>43554.623611111114</v>
      </c>
      <c r="S999">
        <f t="shared" si="48"/>
        <v>127.0000000053551</v>
      </c>
      <c r="T999">
        <f t="shared" si="47"/>
        <v>127</v>
      </c>
    </row>
    <row r="1000" spans="1:20">
      <c r="A1000" t="s">
        <v>679</v>
      </c>
      <c r="B1000" t="s">
        <v>25</v>
      </c>
      <c r="C1000" t="s">
        <v>26</v>
      </c>
      <c r="D1000" t="s">
        <v>20</v>
      </c>
      <c r="E1000" t="s">
        <v>21</v>
      </c>
      <c r="F1000" t="s">
        <v>43</v>
      </c>
      <c r="G1000">
        <v>72.52</v>
      </c>
      <c r="H1000">
        <v>8</v>
      </c>
      <c r="I1000">
        <v>29.007999999999999</v>
      </c>
      <c r="J1000">
        <v>609.16800000000001</v>
      </c>
      <c r="K1000" s="1">
        <v>43554</v>
      </c>
      <c r="L1000" s="2">
        <v>0.80972222222222223</v>
      </c>
      <c r="M1000" t="s">
        <v>32</v>
      </c>
      <c r="N1000">
        <v>580.16</v>
      </c>
      <c r="O1000">
        <v>4.7619047620000003</v>
      </c>
      <c r="P1000">
        <v>29.007999999999999</v>
      </c>
      <c r="Q1000">
        <v>4</v>
      </c>
      <c r="R1000" s="3">
        <f t="shared" si="46"/>
        <v>43554.80972222222</v>
      </c>
      <c r="S1000">
        <f t="shared" si="48"/>
        <v>267.99999999348074</v>
      </c>
      <c r="T1000">
        <f t="shared" si="47"/>
        <v>268</v>
      </c>
    </row>
    <row r="1001" spans="1:20">
      <c r="A1001" t="s">
        <v>999</v>
      </c>
      <c r="B1001" t="s">
        <v>25</v>
      </c>
      <c r="C1001" t="s">
        <v>26</v>
      </c>
      <c r="D1001" t="s">
        <v>20</v>
      </c>
      <c r="E1001" t="s">
        <v>177</v>
      </c>
      <c r="F1001" t="s">
        <v>28</v>
      </c>
      <c r="G1001">
        <v>96.82</v>
      </c>
      <c r="H1001">
        <v>3</v>
      </c>
      <c r="I1001">
        <v>14.523</v>
      </c>
      <c r="J1001">
        <v>304.983</v>
      </c>
      <c r="K1001" s="1">
        <v>43554</v>
      </c>
      <c r="L1001" s="2">
        <v>0.85902777777777772</v>
      </c>
      <c r="M1001" t="s">
        <v>29</v>
      </c>
      <c r="N1001">
        <v>290.45999999999998</v>
      </c>
      <c r="O1001">
        <v>4.7619047620000003</v>
      </c>
      <c r="P1001">
        <v>14.523</v>
      </c>
      <c r="Q1001">
        <v>6.7</v>
      </c>
      <c r="R1001" s="3">
        <f t="shared" si="46"/>
        <v>43554.859027777777</v>
      </c>
      <c r="S1001">
        <f t="shared" si="48"/>
        <v>71.000000000931323</v>
      </c>
      <c r="T1001">
        <f t="shared" si="47"/>
        <v>71</v>
      </c>
    </row>
    <row r="1002" spans="1:20" hidden="1"/>
    <row r="1003" spans="1:20" hidden="1"/>
    <row r="1004" spans="1:20" hidden="1"/>
    <row r="1005" spans="1:20" hidden="1"/>
    <row r="1006" spans="1:20" hidden="1">
      <c r="R1006" s="3" t="s">
        <v>1039</v>
      </c>
      <c r="S1006">
        <f>AVERAGE(T:T)</f>
        <v>119.67255434782609</v>
      </c>
    </row>
    <row r="1007" spans="1:20" hidden="1">
      <c r="R1007" s="3" t="s">
        <v>1040</v>
      </c>
      <c r="S1007">
        <f>_xlfn.STDEV.S(T:T)</f>
        <v>111.52049984270654</v>
      </c>
    </row>
  </sheetData>
  <autoFilter ref="T1:T1007" xr:uid="{7A97D09E-ED3C-475E-A751-6170BFBA78C1}">
    <filterColumn colId="0">
      <customFilters>
        <customFilter operator="notEqual" val=" "/>
      </customFilters>
    </filterColumn>
  </autoFilter>
  <sortState xmlns:xlrd2="http://schemas.microsoft.com/office/spreadsheetml/2017/richdata2" ref="A2:S1001">
    <sortCondition ref="B2:B1001"/>
    <sortCondition ref="K2:K1001"/>
    <sortCondition ref="L2:L1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CB32-E6AB-47EF-84A7-540503C025D5}">
  <dimension ref="A1:C1026"/>
  <sheetViews>
    <sheetView workbookViewId="0">
      <selection activeCell="F19" sqref="F19"/>
    </sheetView>
  </sheetViews>
  <sheetFormatPr defaultRowHeight="14.5"/>
  <sheetData>
    <row r="1" spans="1:3">
      <c r="A1" t="s">
        <v>1041</v>
      </c>
      <c r="B1" t="s">
        <v>1043</v>
      </c>
      <c r="C1" t="s">
        <v>1044</v>
      </c>
    </row>
    <row r="2" spans="1:3">
      <c r="A2">
        <v>0</v>
      </c>
      <c r="B2">
        <v>1</v>
      </c>
      <c r="C2" s="4">
        <v>1.358695652173913E-3</v>
      </c>
    </row>
    <row r="3" spans="1:3">
      <c r="A3">
        <v>0.5458984375</v>
      </c>
      <c r="B3">
        <v>0</v>
      </c>
      <c r="C3" s="4">
        <v>1.358695652173913E-3</v>
      </c>
    </row>
    <row r="4" spans="1:3">
      <c r="A4">
        <v>1.091796875</v>
      </c>
      <c r="B4">
        <v>5</v>
      </c>
      <c r="C4" s="4">
        <v>8.152173913043478E-3</v>
      </c>
    </row>
    <row r="5" spans="1:3">
      <c r="A5">
        <v>1.6376953125</v>
      </c>
      <c r="B5">
        <v>0</v>
      </c>
      <c r="C5" s="4">
        <v>8.152173913043478E-3</v>
      </c>
    </row>
    <row r="6" spans="1:3">
      <c r="A6">
        <v>2.18359375</v>
      </c>
      <c r="B6">
        <v>3</v>
      </c>
      <c r="C6" s="4">
        <v>1.2228260869565218E-2</v>
      </c>
    </row>
    <row r="7" spans="1:3">
      <c r="A7">
        <v>2.7294921875</v>
      </c>
      <c r="B7">
        <v>0</v>
      </c>
      <c r="C7" s="4">
        <v>1.2228260869565218E-2</v>
      </c>
    </row>
    <row r="8" spans="1:3">
      <c r="A8">
        <v>3.275390625</v>
      </c>
      <c r="B8">
        <v>9</v>
      </c>
      <c r="C8" s="4">
        <v>2.4456521739130436E-2</v>
      </c>
    </row>
    <row r="9" spans="1:3">
      <c r="A9">
        <v>3.8212890625</v>
      </c>
      <c r="B9">
        <v>0</v>
      </c>
      <c r="C9" s="4">
        <v>2.4456521739130436E-2</v>
      </c>
    </row>
    <row r="10" spans="1:3">
      <c r="A10">
        <v>4.3671875</v>
      </c>
      <c r="B10">
        <v>5</v>
      </c>
      <c r="C10" s="4">
        <v>3.125E-2</v>
      </c>
    </row>
    <row r="11" spans="1:3">
      <c r="A11">
        <v>4.9130859375</v>
      </c>
      <c r="B11">
        <v>0</v>
      </c>
      <c r="C11" s="4">
        <v>3.125E-2</v>
      </c>
    </row>
    <row r="12" spans="1:3">
      <c r="A12">
        <v>5.458984375</v>
      </c>
      <c r="B12">
        <v>4</v>
      </c>
      <c r="C12" s="4">
        <v>3.6684782608695655E-2</v>
      </c>
    </row>
    <row r="13" spans="1:3">
      <c r="A13">
        <v>6.0048828125</v>
      </c>
      <c r="B13">
        <v>6</v>
      </c>
      <c r="C13" s="4">
        <v>4.4836956521739128E-2</v>
      </c>
    </row>
    <row r="14" spans="1:3">
      <c r="A14">
        <v>6.55078125</v>
      </c>
      <c r="B14">
        <v>0</v>
      </c>
      <c r="C14" s="4">
        <v>4.4836956521739128E-2</v>
      </c>
    </row>
    <row r="15" spans="1:3">
      <c r="A15">
        <v>7.0966796875</v>
      </c>
      <c r="B15">
        <v>7</v>
      </c>
      <c r="C15" s="4">
        <v>5.434782608695652E-2</v>
      </c>
    </row>
    <row r="16" spans="1:3">
      <c r="A16">
        <v>7.642578125</v>
      </c>
      <c r="B16">
        <v>0</v>
      </c>
      <c r="C16" s="4">
        <v>5.434782608695652E-2</v>
      </c>
    </row>
    <row r="17" spans="1:3">
      <c r="A17">
        <v>8.1884765625</v>
      </c>
      <c r="B17">
        <v>6</v>
      </c>
      <c r="C17" s="4">
        <v>6.25E-2</v>
      </c>
    </row>
    <row r="18" spans="1:3">
      <c r="A18">
        <v>8.734375</v>
      </c>
      <c r="B18">
        <v>0</v>
      </c>
      <c r="C18" s="4">
        <v>6.25E-2</v>
      </c>
    </row>
    <row r="19" spans="1:3">
      <c r="A19">
        <v>9.2802734375</v>
      </c>
      <c r="B19">
        <v>4</v>
      </c>
      <c r="C19" s="4">
        <v>6.7934782608695649E-2</v>
      </c>
    </row>
    <row r="20" spans="1:3">
      <c r="A20">
        <v>9.826171875</v>
      </c>
      <c r="B20">
        <v>0</v>
      </c>
      <c r="C20" s="4">
        <v>6.7934782608695649E-2</v>
      </c>
    </row>
    <row r="21" spans="1:3">
      <c r="A21">
        <v>10.3720703125</v>
      </c>
      <c r="B21">
        <v>5</v>
      </c>
      <c r="C21" s="4">
        <v>7.4728260869565216E-2</v>
      </c>
    </row>
    <row r="22" spans="1:3">
      <c r="A22">
        <v>10.91796875</v>
      </c>
      <c r="B22">
        <v>0</v>
      </c>
      <c r="C22" s="4">
        <v>7.4728260869565216E-2</v>
      </c>
    </row>
    <row r="23" spans="1:3">
      <c r="A23">
        <v>11.4638671875</v>
      </c>
      <c r="B23">
        <v>5</v>
      </c>
      <c r="C23" s="4">
        <v>8.1521739130434784E-2</v>
      </c>
    </row>
    <row r="24" spans="1:3">
      <c r="A24">
        <v>12.009765625</v>
      </c>
      <c r="B24">
        <v>4</v>
      </c>
      <c r="C24" s="4">
        <v>8.6956521739130432E-2</v>
      </c>
    </row>
    <row r="25" spans="1:3">
      <c r="A25">
        <v>12.5556640625</v>
      </c>
      <c r="B25">
        <v>0</v>
      </c>
      <c r="C25" s="4">
        <v>8.6956521739130432E-2</v>
      </c>
    </row>
    <row r="26" spans="1:3">
      <c r="A26">
        <v>13.1015625</v>
      </c>
      <c r="B26">
        <v>7</v>
      </c>
      <c r="C26" s="4">
        <v>9.6467391304347824E-2</v>
      </c>
    </row>
    <row r="27" spans="1:3">
      <c r="A27">
        <v>13.6474609375</v>
      </c>
      <c r="B27">
        <v>0</v>
      </c>
      <c r="C27" s="4">
        <v>9.6467391304347824E-2</v>
      </c>
    </row>
    <row r="28" spans="1:3">
      <c r="A28">
        <v>14.193359375</v>
      </c>
      <c r="B28">
        <v>6</v>
      </c>
      <c r="C28" s="4">
        <v>0.10461956521739131</v>
      </c>
    </row>
    <row r="29" spans="1:3">
      <c r="A29">
        <v>14.7392578125</v>
      </c>
      <c r="B29">
        <v>0</v>
      </c>
      <c r="C29" s="4">
        <v>0.10461956521739131</v>
      </c>
    </row>
    <row r="30" spans="1:3">
      <c r="A30">
        <v>15.28515625</v>
      </c>
      <c r="B30">
        <v>3</v>
      </c>
      <c r="C30" s="4">
        <v>0.10869565217391304</v>
      </c>
    </row>
    <row r="31" spans="1:3">
      <c r="A31">
        <v>15.8310546875</v>
      </c>
      <c r="B31">
        <v>0</v>
      </c>
      <c r="C31" s="4">
        <v>0.10869565217391304</v>
      </c>
    </row>
    <row r="32" spans="1:3">
      <c r="A32">
        <v>16.376953125</v>
      </c>
      <c r="B32">
        <v>6</v>
      </c>
      <c r="C32" s="4">
        <v>0.11684782608695653</v>
      </c>
    </row>
    <row r="33" spans="1:3">
      <c r="A33">
        <v>16.9228515625</v>
      </c>
      <c r="B33">
        <v>0</v>
      </c>
      <c r="C33" s="4">
        <v>0.11684782608695653</v>
      </c>
    </row>
    <row r="34" spans="1:3">
      <c r="A34">
        <v>17.46875</v>
      </c>
      <c r="B34">
        <v>6</v>
      </c>
      <c r="C34" s="4">
        <v>0.125</v>
      </c>
    </row>
    <row r="35" spans="1:3">
      <c r="A35">
        <v>18.0146484375</v>
      </c>
      <c r="B35">
        <v>4</v>
      </c>
      <c r="C35" s="4">
        <v>0.13043478260869565</v>
      </c>
    </row>
    <row r="36" spans="1:3">
      <c r="A36">
        <v>18.560546875</v>
      </c>
      <c r="B36">
        <v>0</v>
      </c>
      <c r="C36" s="4">
        <v>0.13043478260869565</v>
      </c>
    </row>
    <row r="37" spans="1:3">
      <c r="A37">
        <v>19.1064453125</v>
      </c>
      <c r="B37">
        <v>6</v>
      </c>
      <c r="C37" s="4">
        <v>0.13858695652173914</v>
      </c>
    </row>
    <row r="38" spans="1:3">
      <c r="A38">
        <v>19.65234375</v>
      </c>
      <c r="B38">
        <v>0</v>
      </c>
      <c r="C38" s="4">
        <v>0.13858695652173914</v>
      </c>
    </row>
    <row r="39" spans="1:3">
      <c r="A39">
        <v>20.1982421875</v>
      </c>
      <c r="B39">
        <v>6</v>
      </c>
      <c r="C39" s="4">
        <v>0.14673913043478262</v>
      </c>
    </row>
    <row r="40" spans="1:3">
      <c r="A40">
        <v>20.744140625</v>
      </c>
      <c r="B40">
        <v>0</v>
      </c>
      <c r="C40" s="4">
        <v>0.14673913043478262</v>
      </c>
    </row>
    <row r="41" spans="1:3">
      <c r="A41">
        <v>21.2900390625</v>
      </c>
      <c r="B41">
        <v>6</v>
      </c>
      <c r="C41" s="4">
        <v>0.15489130434782608</v>
      </c>
    </row>
    <row r="42" spans="1:3">
      <c r="A42">
        <v>21.8359375</v>
      </c>
      <c r="B42">
        <v>0</v>
      </c>
      <c r="C42" s="4">
        <v>0.15489130434782608</v>
      </c>
    </row>
    <row r="43" spans="1:3">
      <c r="A43">
        <v>22.3818359375</v>
      </c>
      <c r="B43">
        <v>6</v>
      </c>
      <c r="C43" s="4">
        <v>0.16304347826086957</v>
      </c>
    </row>
    <row r="44" spans="1:3">
      <c r="A44">
        <v>22.927734375</v>
      </c>
      <c r="B44">
        <v>0</v>
      </c>
      <c r="C44" s="4">
        <v>0.16304347826086957</v>
      </c>
    </row>
    <row r="45" spans="1:3">
      <c r="A45">
        <v>23.4736328125</v>
      </c>
      <c r="B45">
        <v>9</v>
      </c>
      <c r="C45" s="4">
        <v>0.17527173913043478</v>
      </c>
    </row>
    <row r="46" spans="1:3">
      <c r="A46">
        <v>24.01953125</v>
      </c>
      <c r="B46">
        <v>11</v>
      </c>
      <c r="C46" s="4">
        <v>0.19021739130434784</v>
      </c>
    </row>
    <row r="47" spans="1:3">
      <c r="A47">
        <v>24.5654296875</v>
      </c>
      <c r="B47">
        <v>0</v>
      </c>
      <c r="C47" s="4">
        <v>0.19021739130434784</v>
      </c>
    </row>
    <row r="48" spans="1:3">
      <c r="A48">
        <v>25.111328125</v>
      </c>
      <c r="B48">
        <v>6</v>
      </c>
      <c r="C48" s="4">
        <v>0.1983695652173913</v>
      </c>
    </row>
    <row r="49" spans="1:3">
      <c r="A49">
        <v>25.6572265625</v>
      </c>
      <c r="B49">
        <v>0</v>
      </c>
      <c r="C49" s="4">
        <v>0.1983695652173913</v>
      </c>
    </row>
    <row r="50" spans="1:3">
      <c r="A50">
        <v>26.203125</v>
      </c>
      <c r="B50">
        <v>7</v>
      </c>
      <c r="C50" s="4">
        <v>0.2078804347826087</v>
      </c>
    </row>
    <row r="51" spans="1:3">
      <c r="A51">
        <v>26.7490234375</v>
      </c>
      <c r="B51">
        <v>0</v>
      </c>
      <c r="C51" s="4">
        <v>0.2078804347826087</v>
      </c>
    </row>
    <row r="52" spans="1:3">
      <c r="A52">
        <v>27.294921875</v>
      </c>
      <c r="B52">
        <v>5</v>
      </c>
      <c r="C52" s="4">
        <v>0.21467391304347827</v>
      </c>
    </row>
    <row r="53" spans="1:3">
      <c r="A53">
        <v>27.8408203125</v>
      </c>
      <c r="B53">
        <v>0</v>
      </c>
      <c r="C53" s="4">
        <v>0.21467391304347827</v>
      </c>
    </row>
    <row r="54" spans="1:3">
      <c r="A54">
        <v>28.38671875</v>
      </c>
      <c r="B54">
        <v>5</v>
      </c>
      <c r="C54" s="4">
        <v>0.22146739130434784</v>
      </c>
    </row>
    <row r="55" spans="1:3">
      <c r="A55">
        <v>28.9326171875</v>
      </c>
      <c r="B55">
        <v>0</v>
      </c>
      <c r="C55" s="4">
        <v>0.22146739130434784</v>
      </c>
    </row>
    <row r="56" spans="1:3">
      <c r="A56">
        <v>29.478515625</v>
      </c>
      <c r="B56">
        <v>3</v>
      </c>
      <c r="C56" s="4">
        <v>0.22554347826086957</v>
      </c>
    </row>
    <row r="57" spans="1:3">
      <c r="A57">
        <v>30.0244140625</v>
      </c>
      <c r="B57">
        <v>8</v>
      </c>
      <c r="C57" s="4">
        <v>0.23641304347826086</v>
      </c>
    </row>
    <row r="58" spans="1:3">
      <c r="A58">
        <v>30.5703125</v>
      </c>
      <c r="B58">
        <v>0</v>
      </c>
      <c r="C58" s="4">
        <v>0.23641304347826086</v>
      </c>
    </row>
    <row r="59" spans="1:3">
      <c r="A59">
        <v>31.1162109375</v>
      </c>
      <c r="B59">
        <v>2</v>
      </c>
      <c r="C59" s="4">
        <v>0.2391304347826087</v>
      </c>
    </row>
    <row r="60" spans="1:3">
      <c r="A60">
        <v>31.662109375</v>
      </c>
      <c r="B60">
        <v>0</v>
      </c>
      <c r="C60" s="4">
        <v>0.2391304347826087</v>
      </c>
    </row>
    <row r="61" spans="1:3">
      <c r="A61">
        <v>32.2080078125</v>
      </c>
      <c r="B61">
        <v>4</v>
      </c>
      <c r="C61" s="4">
        <v>0.24456521739130435</v>
      </c>
    </row>
    <row r="62" spans="1:3">
      <c r="A62">
        <v>32.75390625</v>
      </c>
      <c r="B62">
        <v>0</v>
      </c>
      <c r="C62" s="4">
        <v>0.24456521739130435</v>
      </c>
    </row>
    <row r="63" spans="1:3">
      <c r="A63">
        <v>33.2998046875</v>
      </c>
      <c r="B63">
        <v>5</v>
      </c>
      <c r="C63" s="4">
        <v>0.25135869565217389</v>
      </c>
    </row>
    <row r="64" spans="1:3">
      <c r="A64">
        <v>33.845703125</v>
      </c>
      <c r="B64">
        <v>0</v>
      </c>
      <c r="C64" s="4">
        <v>0.25135869565217389</v>
      </c>
    </row>
    <row r="65" spans="1:3">
      <c r="A65">
        <v>34.3916015625</v>
      </c>
      <c r="B65">
        <v>5</v>
      </c>
      <c r="C65" s="4">
        <v>0.25815217391304346</v>
      </c>
    </row>
    <row r="66" spans="1:3">
      <c r="A66">
        <v>34.9375</v>
      </c>
      <c r="B66">
        <v>0</v>
      </c>
      <c r="C66" s="4">
        <v>0.25815217391304346</v>
      </c>
    </row>
    <row r="67" spans="1:3">
      <c r="A67">
        <v>35.4833984375</v>
      </c>
      <c r="B67">
        <v>5</v>
      </c>
      <c r="C67" s="4">
        <v>0.26494565217391303</v>
      </c>
    </row>
    <row r="68" spans="1:3">
      <c r="A68">
        <v>36.029296875</v>
      </c>
      <c r="B68">
        <v>3</v>
      </c>
      <c r="C68" s="4">
        <v>0.26902173913043476</v>
      </c>
    </row>
    <row r="69" spans="1:3">
      <c r="A69">
        <v>36.5751953125</v>
      </c>
      <c r="B69">
        <v>0</v>
      </c>
      <c r="C69" s="4">
        <v>0.26902173913043476</v>
      </c>
    </row>
    <row r="70" spans="1:3">
      <c r="A70">
        <v>37.12109375</v>
      </c>
      <c r="B70">
        <v>8</v>
      </c>
      <c r="C70" s="4">
        <v>0.27989130434782611</v>
      </c>
    </row>
    <row r="71" spans="1:3">
      <c r="A71">
        <v>37.6669921875</v>
      </c>
      <c r="B71">
        <v>0</v>
      </c>
      <c r="C71" s="4">
        <v>0.27989130434782611</v>
      </c>
    </row>
    <row r="72" spans="1:3">
      <c r="A72">
        <v>38.212890625</v>
      </c>
      <c r="B72">
        <v>3</v>
      </c>
      <c r="C72" s="4">
        <v>0.28396739130434784</v>
      </c>
    </row>
    <row r="73" spans="1:3">
      <c r="A73">
        <v>38.7587890625</v>
      </c>
      <c r="B73">
        <v>0</v>
      </c>
      <c r="C73" s="4">
        <v>0.28396739130434784</v>
      </c>
    </row>
    <row r="74" spans="1:3">
      <c r="A74">
        <v>39.3046875</v>
      </c>
      <c r="B74">
        <v>3</v>
      </c>
      <c r="C74" s="4">
        <v>0.28804347826086957</v>
      </c>
    </row>
    <row r="75" spans="1:3">
      <c r="A75">
        <v>39.8505859375</v>
      </c>
      <c r="B75">
        <v>0</v>
      </c>
      <c r="C75" s="4">
        <v>0.28804347826086957</v>
      </c>
    </row>
    <row r="76" spans="1:3">
      <c r="A76">
        <v>40.396484375</v>
      </c>
      <c r="B76">
        <v>5</v>
      </c>
      <c r="C76" s="4">
        <v>0.29483695652173914</v>
      </c>
    </row>
    <row r="77" spans="1:3">
      <c r="A77">
        <v>40.9423828125</v>
      </c>
      <c r="B77">
        <v>0</v>
      </c>
      <c r="C77" s="4">
        <v>0.29483695652173914</v>
      </c>
    </row>
    <row r="78" spans="1:3">
      <c r="A78">
        <v>41.48828125</v>
      </c>
      <c r="B78">
        <v>1</v>
      </c>
      <c r="C78" s="4">
        <v>0.29619565217391303</v>
      </c>
    </row>
    <row r="79" spans="1:3">
      <c r="A79">
        <v>42.0341796875</v>
      </c>
      <c r="B79">
        <v>10</v>
      </c>
      <c r="C79" s="4">
        <v>0.30978260869565216</v>
      </c>
    </row>
    <row r="80" spans="1:3">
      <c r="A80">
        <v>42.580078125</v>
      </c>
      <c r="B80">
        <v>0</v>
      </c>
      <c r="C80" s="4">
        <v>0.30978260869565216</v>
      </c>
    </row>
    <row r="81" spans="1:3">
      <c r="A81">
        <v>43.1259765625</v>
      </c>
      <c r="B81">
        <v>7</v>
      </c>
      <c r="C81" s="4">
        <v>0.31929347826086957</v>
      </c>
    </row>
    <row r="82" spans="1:3">
      <c r="A82">
        <v>43.671875</v>
      </c>
      <c r="B82">
        <v>0</v>
      </c>
      <c r="C82" s="4">
        <v>0.31929347826086957</v>
      </c>
    </row>
    <row r="83" spans="1:3">
      <c r="A83">
        <v>44.2177734375</v>
      </c>
      <c r="B83">
        <v>2</v>
      </c>
      <c r="C83" s="4">
        <v>0.32201086956521741</v>
      </c>
    </row>
    <row r="84" spans="1:3">
      <c r="A84">
        <v>44.763671875</v>
      </c>
      <c r="B84">
        <v>0</v>
      </c>
      <c r="C84" s="4">
        <v>0.32201086956521741</v>
      </c>
    </row>
    <row r="85" spans="1:3">
      <c r="A85">
        <v>45.3095703125</v>
      </c>
      <c r="B85">
        <v>5</v>
      </c>
      <c r="C85" s="4">
        <v>0.32880434782608697</v>
      </c>
    </row>
    <row r="86" spans="1:3">
      <c r="A86">
        <v>45.85546875</v>
      </c>
      <c r="B86">
        <v>0</v>
      </c>
      <c r="C86" s="4">
        <v>0.32880434782608697</v>
      </c>
    </row>
    <row r="87" spans="1:3">
      <c r="A87">
        <v>46.4013671875</v>
      </c>
      <c r="B87">
        <v>4</v>
      </c>
      <c r="C87" s="4">
        <v>0.33423913043478259</v>
      </c>
    </row>
    <row r="88" spans="1:3">
      <c r="A88">
        <v>46.947265625</v>
      </c>
      <c r="B88">
        <v>0</v>
      </c>
      <c r="C88" s="4">
        <v>0.33423913043478259</v>
      </c>
    </row>
    <row r="89" spans="1:3">
      <c r="A89">
        <v>47.4931640625</v>
      </c>
      <c r="B89">
        <v>4</v>
      </c>
      <c r="C89" s="4">
        <v>0.33967391304347827</v>
      </c>
    </row>
    <row r="90" spans="1:3">
      <c r="A90">
        <v>48.0390625</v>
      </c>
      <c r="B90">
        <v>5</v>
      </c>
      <c r="C90" s="4">
        <v>0.34646739130434784</v>
      </c>
    </row>
    <row r="91" spans="1:3">
      <c r="A91">
        <v>48.5849609375</v>
      </c>
      <c r="B91">
        <v>0</v>
      </c>
      <c r="C91" s="4">
        <v>0.34646739130434784</v>
      </c>
    </row>
    <row r="92" spans="1:3">
      <c r="A92">
        <v>49.130859375</v>
      </c>
      <c r="B92">
        <v>5</v>
      </c>
      <c r="C92" s="4">
        <v>0.35326086956521741</v>
      </c>
    </row>
    <row r="93" spans="1:3">
      <c r="A93">
        <v>49.6767578125</v>
      </c>
      <c r="B93">
        <v>0</v>
      </c>
      <c r="C93" s="4">
        <v>0.35326086956521741</v>
      </c>
    </row>
    <row r="94" spans="1:3">
      <c r="A94">
        <v>50.22265625</v>
      </c>
      <c r="B94">
        <v>3</v>
      </c>
      <c r="C94" s="4">
        <v>0.35733695652173914</v>
      </c>
    </row>
    <row r="95" spans="1:3">
      <c r="A95">
        <v>50.7685546875</v>
      </c>
      <c r="B95">
        <v>0</v>
      </c>
      <c r="C95" s="4">
        <v>0.35733695652173914</v>
      </c>
    </row>
    <row r="96" spans="1:3">
      <c r="A96">
        <v>51.314453125</v>
      </c>
      <c r="B96">
        <v>4</v>
      </c>
      <c r="C96" s="4">
        <v>0.36277173913043476</v>
      </c>
    </row>
    <row r="97" spans="1:3">
      <c r="A97">
        <v>51.8603515625</v>
      </c>
      <c r="B97">
        <v>0</v>
      </c>
      <c r="C97" s="4">
        <v>0.36277173913043476</v>
      </c>
    </row>
    <row r="98" spans="1:3">
      <c r="A98">
        <v>52.40625</v>
      </c>
      <c r="B98">
        <v>3</v>
      </c>
      <c r="C98" s="4">
        <v>0.36684782608695654</v>
      </c>
    </row>
    <row r="99" spans="1:3">
      <c r="A99">
        <v>52.9521484375</v>
      </c>
      <c r="B99">
        <v>0</v>
      </c>
      <c r="C99" s="4">
        <v>0.36684782608695654</v>
      </c>
    </row>
    <row r="100" spans="1:3">
      <c r="A100">
        <v>53.498046875</v>
      </c>
      <c r="B100">
        <v>2</v>
      </c>
      <c r="C100" s="4">
        <v>0.36956521739130432</v>
      </c>
    </row>
    <row r="101" spans="1:3">
      <c r="A101">
        <v>54.0439453125</v>
      </c>
      <c r="B101">
        <v>7</v>
      </c>
      <c r="C101" s="4">
        <v>0.37907608695652173</v>
      </c>
    </row>
    <row r="102" spans="1:3">
      <c r="A102">
        <v>54.58984375</v>
      </c>
      <c r="B102">
        <v>0</v>
      </c>
      <c r="C102" s="4">
        <v>0.37907608695652173</v>
      </c>
    </row>
    <row r="103" spans="1:3">
      <c r="A103">
        <v>55.1357421875</v>
      </c>
      <c r="B103">
        <v>4</v>
      </c>
      <c r="C103" s="4">
        <v>0.38451086956521741</v>
      </c>
    </row>
    <row r="104" spans="1:3">
      <c r="A104">
        <v>55.681640625</v>
      </c>
      <c r="B104">
        <v>0</v>
      </c>
      <c r="C104" s="4">
        <v>0.38451086956521741</v>
      </c>
    </row>
    <row r="105" spans="1:3">
      <c r="A105">
        <v>56.2275390625</v>
      </c>
      <c r="B105">
        <v>2</v>
      </c>
      <c r="C105" s="4">
        <v>0.38722826086956524</v>
      </c>
    </row>
    <row r="106" spans="1:3">
      <c r="A106">
        <v>56.7734375</v>
      </c>
      <c r="B106">
        <v>0</v>
      </c>
      <c r="C106" s="4">
        <v>0.38722826086956524</v>
      </c>
    </row>
    <row r="107" spans="1:3">
      <c r="A107">
        <v>57.3193359375</v>
      </c>
      <c r="B107">
        <v>2</v>
      </c>
      <c r="C107" s="4">
        <v>0.38994565217391303</v>
      </c>
    </row>
    <row r="108" spans="1:3">
      <c r="A108">
        <v>57.865234375</v>
      </c>
      <c r="B108">
        <v>0</v>
      </c>
      <c r="C108" s="4">
        <v>0.38994565217391303</v>
      </c>
    </row>
    <row r="109" spans="1:3">
      <c r="A109">
        <v>58.4111328125</v>
      </c>
      <c r="B109">
        <v>4</v>
      </c>
      <c r="C109" s="4">
        <v>0.3953804347826087</v>
      </c>
    </row>
    <row r="110" spans="1:3">
      <c r="A110">
        <v>58.95703125</v>
      </c>
      <c r="B110">
        <v>0</v>
      </c>
      <c r="C110" s="4">
        <v>0.3953804347826087</v>
      </c>
    </row>
    <row r="111" spans="1:3">
      <c r="A111">
        <v>59.5029296875</v>
      </c>
      <c r="B111">
        <v>3</v>
      </c>
      <c r="C111" s="4">
        <v>0.39945652173913043</v>
      </c>
    </row>
    <row r="112" spans="1:3">
      <c r="A112">
        <v>60.048828125</v>
      </c>
      <c r="B112">
        <v>1</v>
      </c>
      <c r="C112" s="4">
        <v>0.40081521739130432</v>
      </c>
    </row>
    <row r="113" spans="1:3">
      <c r="A113">
        <v>60.5947265625</v>
      </c>
      <c r="B113">
        <v>0</v>
      </c>
      <c r="C113" s="4">
        <v>0.40081521739130432</v>
      </c>
    </row>
    <row r="114" spans="1:3">
      <c r="A114">
        <v>61.140625</v>
      </c>
      <c r="B114">
        <v>3</v>
      </c>
      <c r="C114" s="4">
        <v>0.40489130434782611</v>
      </c>
    </row>
    <row r="115" spans="1:3">
      <c r="A115">
        <v>61.6865234375</v>
      </c>
      <c r="B115">
        <v>0</v>
      </c>
      <c r="C115" s="4">
        <v>0.40489130434782611</v>
      </c>
    </row>
    <row r="116" spans="1:3">
      <c r="A116">
        <v>62.232421875</v>
      </c>
      <c r="B116">
        <v>9</v>
      </c>
      <c r="C116" s="4">
        <v>0.4171195652173913</v>
      </c>
    </row>
    <row r="117" spans="1:3">
      <c r="A117">
        <v>62.7783203125</v>
      </c>
      <c r="B117">
        <v>0</v>
      </c>
      <c r="C117" s="4">
        <v>0.4171195652173913</v>
      </c>
    </row>
    <row r="118" spans="1:3">
      <c r="A118">
        <v>63.32421875</v>
      </c>
      <c r="B118">
        <v>4</v>
      </c>
      <c r="C118" s="4">
        <v>0.42255434782608697</v>
      </c>
    </row>
    <row r="119" spans="1:3">
      <c r="A119">
        <v>63.8701171875</v>
      </c>
      <c r="B119">
        <v>0</v>
      </c>
      <c r="C119" s="4">
        <v>0.42255434782608697</v>
      </c>
    </row>
    <row r="120" spans="1:3">
      <c r="A120">
        <v>64.416015625</v>
      </c>
      <c r="B120">
        <v>1</v>
      </c>
      <c r="C120" s="4">
        <v>0.42391304347826086</v>
      </c>
    </row>
    <row r="121" spans="1:3">
      <c r="A121">
        <v>64.9619140625</v>
      </c>
      <c r="B121">
        <v>0</v>
      </c>
      <c r="C121" s="4">
        <v>0.42391304347826086</v>
      </c>
    </row>
    <row r="122" spans="1:3">
      <c r="A122">
        <v>65.5078125</v>
      </c>
      <c r="B122">
        <v>4</v>
      </c>
      <c r="C122" s="4">
        <v>0.42934782608695654</v>
      </c>
    </row>
    <row r="123" spans="1:3">
      <c r="A123">
        <v>66.0537109375</v>
      </c>
      <c r="B123">
        <v>3</v>
      </c>
      <c r="C123" s="4">
        <v>0.43342391304347827</v>
      </c>
    </row>
    <row r="124" spans="1:3">
      <c r="A124">
        <v>66.599609375</v>
      </c>
      <c r="B124">
        <v>0</v>
      </c>
      <c r="C124" s="4">
        <v>0.43342391304347827</v>
      </c>
    </row>
    <row r="125" spans="1:3">
      <c r="A125">
        <v>67.1455078125</v>
      </c>
      <c r="B125">
        <v>5</v>
      </c>
      <c r="C125" s="4">
        <v>0.44021739130434784</v>
      </c>
    </row>
    <row r="126" spans="1:3">
      <c r="A126">
        <v>67.69140625</v>
      </c>
      <c r="B126">
        <v>0</v>
      </c>
      <c r="C126" s="4">
        <v>0.44021739130434784</v>
      </c>
    </row>
    <row r="127" spans="1:3">
      <c r="A127">
        <v>68.2373046875</v>
      </c>
      <c r="B127">
        <v>3</v>
      </c>
      <c r="C127" s="4">
        <v>0.44429347826086957</v>
      </c>
    </row>
    <row r="128" spans="1:3">
      <c r="A128">
        <v>68.783203125</v>
      </c>
      <c r="B128">
        <v>0</v>
      </c>
      <c r="C128" s="4">
        <v>0.44429347826086957</v>
      </c>
    </row>
    <row r="129" spans="1:3">
      <c r="A129">
        <v>69.3291015625</v>
      </c>
      <c r="B129">
        <v>2</v>
      </c>
      <c r="C129" s="4">
        <v>0.44701086956521741</v>
      </c>
    </row>
    <row r="130" spans="1:3">
      <c r="A130">
        <v>69.875</v>
      </c>
      <c r="B130">
        <v>0</v>
      </c>
      <c r="C130" s="4">
        <v>0.44701086956521741</v>
      </c>
    </row>
    <row r="131" spans="1:3">
      <c r="A131">
        <v>70.4208984375</v>
      </c>
      <c r="B131">
        <v>6</v>
      </c>
      <c r="C131" s="4">
        <v>0.45516304347826086</v>
      </c>
    </row>
    <row r="132" spans="1:3">
      <c r="A132">
        <v>70.966796875</v>
      </c>
      <c r="B132">
        <v>0</v>
      </c>
      <c r="C132" s="4">
        <v>0.45516304347826086</v>
      </c>
    </row>
    <row r="133" spans="1:3">
      <c r="A133">
        <v>71.5126953125</v>
      </c>
      <c r="B133">
        <v>3</v>
      </c>
      <c r="C133" s="4">
        <v>0.45923913043478259</v>
      </c>
    </row>
    <row r="134" spans="1:3">
      <c r="A134">
        <v>72.05859375</v>
      </c>
      <c r="B134">
        <v>1</v>
      </c>
      <c r="C134" s="4">
        <v>0.46059782608695654</v>
      </c>
    </row>
    <row r="135" spans="1:3">
      <c r="A135">
        <v>72.6044921875</v>
      </c>
      <c r="B135">
        <v>0</v>
      </c>
      <c r="C135" s="4">
        <v>0.46059782608695654</v>
      </c>
    </row>
    <row r="136" spans="1:3">
      <c r="A136">
        <v>73.150390625</v>
      </c>
      <c r="B136">
        <v>3</v>
      </c>
      <c r="C136" s="4">
        <v>0.46467391304347827</v>
      </c>
    </row>
    <row r="137" spans="1:3">
      <c r="A137">
        <v>73.6962890625</v>
      </c>
      <c r="B137">
        <v>0</v>
      </c>
      <c r="C137" s="4">
        <v>0.46467391304347827</v>
      </c>
    </row>
    <row r="138" spans="1:3">
      <c r="A138">
        <v>74.2421875</v>
      </c>
      <c r="B138">
        <v>0</v>
      </c>
      <c r="C138" s="4">
        <v>0.46467391304347827</v>
      </c>
    </row>
    <row r="139" spans="1:3">
      <c r="A139">
        <v>74.7880859375</v>
      </c>
      <c r="B139">
        <v>0</v>
      </c>
      <c r="C139" s="4">
        <v>0.46467391304347827</v>
      </c>
    </row>
    <row r="140" spans="1:3">
      <c r="A140">
        <v>75.333984375</v>
      </c>
      <c r="B140">
        <v>1</v>
      </c>
      <c r="C140" s="4">
        <v>0.46603260869565216</v>
      </c>
    </row>
    <row r="141" spans="1:3">
      <c r="A141">
        <v>75.8798828125</v>
      </c>
      <c r="B141">
        <v>0</v>
      </c>
      <c r="C141" s="4">
        <v>0.46603260869565216</v>
      </c>
    </row>
    <row r="142" spans="1:3">
      <c r="A142">
        <v>76.42578125</v>
      </c>
      <c r="B142">
        <v>5</v>
      </c>
      <c r="C142" s="4">
        <v>0.47282608695652173</v>
      </c>
    </row>
    <row r="143" spans="1:3">
      <c r="A143">
        <v>76.9716796875</v>
      </c>
      <c r="B143">
        <v>0</v>
      </c>
      <c r="C143" s="4">
        <v>0.47282608695652173</v>
      </c>
    </row>
    <row r="144" spans="1:3">
      <c r="A144">
        <v>77.517578125</v>
      </c>
      <c r="B144">
        <v>3</v>
      </c>
      <c r="C144" s="4">
        <v>0.47690217391304346</v>
      </c>
    </row>
    <row r="145" spans="1:3">
      <c r="A145">
        <v>78.0634765625</v>
      </c>
      <c r="B145">
        <v>3</v>
      </c>
      <c r="C145" s="4">
        <v>0.48097826086956524</v>
      </c>
    </row>
    <row r="146" spans="1:3">
      <c r="A146">
        <v>78.609375</v>
      </c>
      <c r="B146">
        <v>0</v>
      </c>
      <c r="C146" s="4">
        <v>0.48097826086956524</v>
      </c>
    </row>
    <row r="147" spans="1:3">
      <c r="A147">
        <v>79.1552734375</v>
      </c>
      <c r="B147">
        <v>1</v>
      </c>
      <c r="C147" s="4">
        <v>0.48233695652173914</v>
      </c>
    </row>
    <row r="148" spans="1:3">
      <c r="A148">
        <v>79.701171875</v>
      </c>
      <c r="B148">
        <v>0</v>
      </c>
      <c r="C148" s="4">
        <v>0.48233695652173914</v>
      </c>
    </row>
    <row r="149" spans="1:3">
      <c r="A149">
        <v>80.2470703125</v>
      </c>
      <c r="B149">
        <v>3</v>
      </c>
      <c r="C149" s="4">
        <v>0.48641304347826086</v>
      </c>
    </row>
    <row r="150" spans="1:3">
      <c r="A150">
        <v>80.79296875</v>
      </c>
      <c r="B150">
        <v>0</v>
      </c>
      <c r="C150" s="4">
        <v>0.48641304347826086</v>
      </c>
    </row>
    <row r="151" spans="1:3">
      <c r="A151">
        <v>81.3388671875</v>
      </c>
      <c r="B151">
        <v>9</v>
      </c>
      <c r="C151" s="4">
        <v>0.49864130434782611</v>
      </c>
    </row>
    <row r="152" spans="1:3">
      <c r="A152">
        <v>81.884765625</v>
      </c>
      <c r="B152">
        <v>0</v>
      </c>
      <c r="C152" s="4">
        <v>0.49864130434782611</v>
      </c>
    </row>
    <row r="153" spans="1:3">
      <c r="A153">
        <v>82.4306640625</v>
      </c>
      <c r="B153">
        <v>1</v>
      </c>
      <c r="C153" s="4">
        <v>0.5</v>
      </c>
    </row>
    <row r="154" spans="1:3">
      <c r="A154">
        <v>82.9765625</v>
      </c>
      <c r="B154">
        <v>0</v>
      </c>
      <c r="C154" s="4">
        <v>0.5</v>
      </c>
    </row>
    <row r="155" spans="1:3">
      <c r="A155">
        <v>83.5224609375</v>
      </c>
      <c r="B155">
        <v>2</v>
      </c>
      <c r="C155" s="4">
        <v>0.50271739130434778</v>
      </c>
    </row>
    <row r="156" spans="1:3">
      <c r="A156">
        <v>84.068359375</v>
      </c>
      <c r="B156">
        <v>6</v>
      </c>
      <c r="C156" s="4">
        <v>0.51086956521739135</v>
      </c>
    </row>
    <row r="157" spans="1:3">
      <c r="A157">
        <v>84.6142578125</v>
      </c>
      <c r="B157">
        <v>0</v>
      </c>
      <c r="C157" s="4">
        <v>0.51086956521739135</v>
      </c>
    </row>
    <row r="158" spans="1:3">
      <c r="A158">
        <v>85.16015625</v>
      </c>
      <c r="B158">
        <v>3</v>
      </c>
      <c r="C158" s="4">
        <v>0.51494565217391308</v>
      </c>
    </row>
    <row r="159" spans="1:3">
      <c r="A159">
        <v>85.7060546875</v>
      </c>
      <c r="B159">
        <v>0</v>
      </c>
      <c r="C159" s="4">
        <v>0.51494565217391308</v>
      </c>
    </row>
    <row r="160" spans="1:3">
      <c r="A160">
        <v>86.251953125</v>
      </c>
      <c r="B160">
        <v>2</v>
      </c>
      <c r="C160" s="4">
        <v>0.51766304347826086</v>
      </c>
    </row>
    <row r="161" spans="1:3">
      <c r="A161">
        <v>86.7978515625</v>
      </c>
      <c r="B161">
        <v>0</v>
      </c>
      <c r="C161" s="4">
        <v>0.51766304347826086</v>
      </c>
    </row>
    <row r="162" spans="1:3">
      <c r="A162">
        <v>87.34375</v>
      </c>
      <c r="B162">
        <v>3</v>
      </c>
      <c r="C162" s="4">
        <v>0.52173913043478259</v>
      </c>
    </row>
    <row r="163" spans="1:3">
      <c r="A163">
        <v>87.8896484375</v>
      </c>
      <c r="B163">
        <v>0</v>
      </c>
      <c r="C163" s="4">
        <v>0.52173913043478259</v>
      </c>
    </row>
    <row r="164" spans="1:3">
      <c r="A164">
        <v>88.435546875</v>
      </c>
      <c r="B164">
        <v>1</v>
      </c>
      <c r="C164" s="4">
        <v>0.52309782608695654</v>
      </c>
    </row>
    <row r="165" spans="1:3">
      <c r="A165">
        <v>88.9814453125</v>
      </c>
      <c r="B165">
        <v>0</v>
      </c>
      <c r="C165" s="4">
        <v>0.52309782608695654</v>
      </c>
    </row>
    <row r="166" spans="1:3">
      <c r="A166">
        <v>89.52734375</v>
      </c>
      <c r="B166">
        <v>4</v>
      </c>
      <c r="C166" s="4">
        <v>0.52853260869565222</v>
      </c>
    </row>
    <row r="167" spans="1:3">
      <c r="A167">
        <v>90.0732421875</v>
      </c>
      <c r="B167">
        <v>2</v>
      </c>
      <c r="C167" s="4">
        <v>0.53125</v>
      </c>
    </row>
    <row r="168" spans="1:3">
      <c r="A168">
        <v>90.619140625</v>
      </c>
      <c r="B168">
        <v>0</v>
      </c>
      <c r="C168" s="4">
        <v>0.53125</v>
      </c>
    </row>
    <row r="169" spans="1:3">
      <c r="A169">
        <v>91.1650390625</v>
      </c>
      <c r="B169">
        <v>1</v>
      </c>
      <c r="C169" s="4">
        <v>0.53260869565217395</v>
      </c>
    </row>
    <row r="170" spans="1:3">
      <c r="A170">
        <v>91.7109375</v>
      </c>
      <c r="B170">
        <v>0</v>
      </c>
      <c r="C170" s="4">
        <v>0.53260869565217395</v>
      </c>
    </row>
    <row r="171" spans="1:3">
      <c r="A171">
        <v>92.2568359375</v>
      </c>
      <c r="B171">
        <v>0</v>
      </c>
      <c r="C171" s="4">
        <v>0.53260869565217395</v>
      </c>
    </row>
    <row r="172" spans="1:3">
      <c r="A172">
        <v>92.802734375</v>
      </c>
      <c r="B172">
        <v>0</v>
      </c>
      <c r="C172" s="4">
        <v>0.53260869565217395</v>
      </c>
    </row>
    <row r="173" spans="1:3">
      <c r="A173">
        <v>93.3486328125</v>
      </c>
      <c r="B173">
        <v>3</v>
      </c>
      <c r="C173" s="4">
        <v>0.53668478260869568</v>
      </c>
    </row>
    <row r="174" spans="1:3">
      <c r="A174">
        <v>93.89453125</v>
      </c>
      <c r="B174">
        <v>0</v>
      </c>
      <c r="C174" s="4">
        <v>0.53668478260869568</v>
      </c>
    </row>
    <row r="175" spans="1:3">
      <c r="A175">
        <v>94.4404296875</v>
      </c>
      <c r="B175">
        <v>2</v>
      </c>
      <c r="C175" s="4">
        <v>0.53940217391304346</v>
      </c>
    </row>
    <row r="176" spans="1:3">
      <c r="A176">
        <v>94.986328125</v>
      </c>
      <c r="B176">
        <v>0</v>
      </c>
      <c r="C176" s="4">
        <v>0.53940217391304346</v>
      </c>
    </row>
    <row r="177" spans="1:3">
      <c r="A177">
        <v>95.5322265625</v>
      </c>
      <c r="B177">
        <v>3</v>
      </c>
      <c r="C177" s="4">
        <v>0.54347826086956519</v>
      </c>
    </row>
    <row r="178" spans="1:3">
      <c r="A178">
        <v>96.078125</v>
      </c>
      <c r="B178">
        <v>1</v>
      </c>
      <c r="C178" s="4">
        <v>0.54483695652173914</v>
      </c>
    </row>
    <row r="179" spans="1:3">
      <c r="A179">
        <v>96.6240234375</v>
      </c>
      <c r="B179">
        <v>0</v>
      </c>
      <c r="C179" s="4">
        <v>0.54483695652173914</v>
      </c>
    </row>
    <row r="180" spans="1:3">
      <c r="A180">
        <v>97.169921875</v>
      </c>
      <c r="B180">
        <v>1</v>
      </c>
      <c r="C180" s="4">
        <v>0.54619565217391308</v>
      </c>
    </row>
    <row r="181" spans="1:3">
      <c r="A181">
        <v>97.7158203125</v>
      </c>
      <c r="B181">
        <v>0</v>
      </c>
      <c r="C181" s="4">
        <v>0.54619565217391308</v>
      </c>
    </row>
    <row r="182" spans="1:3">
      <c r="A182">
        <v>98.26171875</v>
      </c>
      <c r="B182">
        <v>3</v>
      </c>
      <c r="C182" s="4">
        <v>0.55027173913043481</v>
      </c>
    </row>
    <row r="183" spans="1:3">
      <c r="A183">
        <v>98.8076171875</v>
      </c>
      <c r="B183">
        <v>0</v>
      </c>
      <c r="C183" s="4">
        <v>0.55027173913043481</v>
      </c>
    </row>
    <row r="184" spans="1:3">
      <c r="A184">
        <v>99.353515625</v>
      </c>
      <c r="B184">
        <v>1</v>
      </c>
      <c r="C184" s="4">
        <v>0.55163043478260865</v>
      </c>
    </row>
    <row r="185" spans="1:3">
      <c r="A185">
        <v>99.8994140625</v>
      </c>
      <c r="B185">
        <v>0</v>
      </c>
      <c r="C185" s="4">
        <v>0.55163043478260865</v>
      </c>
    </row>
    <row r="186" spans="1:3">
      <c r="A186">
        <v>100.4453125</v>
      </c>
      <c r="B186">
        <v>1</v>
      </c>
      <c r="C186" s="4">
        <v>0.55298913043478259</v>
      </c>
    </row>
    <row r="187" spans="1:3">
      <c r="A187">
        <v>100.9912109375</v>
      </c>
      <c r="B187">
        <v>0</v>
      </c>
      <c r="C187" s="4">
        <v>0.55298913043478259</v>
      </c>
    </row>
    <row r="188" spans="1:3">
      <c r="A188">
        <v>101.537109375</v>
      </c>
      <c r="B188">
        <v>4</v>
      </c>
      <c r="C188" s="4">
        <v>0.55842391304347827</v>
      </c>
    </row>
    <row r="189" spans="1:3">
      <c r="A189">
        <v>102.0830078125</v>
      </c>
      <c r="B189">
        <v>1</v>
      </c>
      <c r="C189" s="4">
        <v>0.55978260869565222</v>
      </c>
    </row>
    <row r="190" spans="1:3">
      <c r="A190">
        <v>102.62890625</v>
      </c>
      <c r="B190">
        <v>0</v>
      </c>
      <c r="C190" s="4">
        <v>0.55978260869565222</v>
      </c>
    </row>
    <row r="191" spans="1:3">
      <c r="A191">
        <v>103.1748046875</v>
      </c>
      <c r="B191">
        <v>2</v>
      </c>
      <c r="C191" s="4">
        <v>0.5625</v>
      </c>
    </row>
    <row r="192" spans="1:3">
      <c r="A192">
        <v>103.720703125</v>
      </c>
      <c r="B192">
        <v>0</v>
      </c>
      <c r="C192" s="4">
        <v>0.5625</v>
      </c>
    </row>
    <row r="193" spans="1:3">
      <c r="A193">
        <v>104.2666015625</v>
      </c>
      <c r="B193">
        <v>2</v>
      </c>
      <c r="C193" s="4">
        <v>0.56521739130434778</v>
      </c>
    </row>
    <row r="194" spans="1:3">
      <c r="A194">
        <v>104.8125</v>
      </c>
      <c r="B194">
        <v>0</v>
      </c>
      <c r="C194" s="4">
        <v>0.56521739130434778</v>
      </c>
    </row>
    <row r="195" spans="1:3">
      <c r="A195">
        <v>105.3583984375</v>
      </c>
      <c r="B195">
        <v>2</v>
      </c>
      <c r="C195" s="4">
        <v>0.56793478260869568</v>
      </c>
    </row>
    <row r="196" spans="1:3">
      <c r="A196">
        <v>105.904296875</v>
      </c>
      <c r="B196">
        <v>0</v>
      </c>
      <c r="C196" s="4">
        <v>0.56793478260869568</v>
      </c>
    </row>
    <row r="197" spans="1:3">
      <c r="A197">
        <v>106.4501953125</v>
      </c>
      <c r="B197">
        <v>4</v>
      </c>
      <c r="C197" s="4">
        <v>0.57336956521739135</v>
      </c>
    </row>
    <row r="198" spans="1:3">
      <c r="A198">
        <v>106.99609375</v>
      </c>
      <c r="B198">
        <v>0</v>
      </c>
      <c r="C198" s="4">
        <v>0.57336956521739135</v>
      </c>
    </row>
    <row r="199" spans="1:3">
      <c r="A199">
        <v>107.5419921875</v>
      </c>
      <c r="B199">
        <v>2</v>
      </c>
      <c r="C199" s="4">
        <v>0.57608695652173914</v>
      </c>
    </row>
    <row r="200" spans="1:3">
      <c r="A200">
        <v>108.087890625</v>
      </c>
      <c r="B200">
        <v>4</v>
      </c>
      <c r="C200" s="4">
        <v>0.58152173913043481</v>
      </c>
    </row>
    <row r="201" spans="1:3">
      <c r="A201">
        <v>108.6337890625</v>
      </c>
      <c r="B201">
        <v>0</v>
      </c>
      <c r="C201" s="4">
        <v>0.58152173913043481</v>
      </c>
    </row>
    <row r="202" spans="1:3">
      <c r="A202">
        <v>109.1796875</v>
      </c>
      <c r="B202">
        <v>2</v>
      </c>
      <c r="C202" s="4">
        <v>0.58423913043478259</v>
      </c>
    </row>
    <row r="203" spans="1:3">
      <c r="A203">
        <v>109.7255859375</v>
      </c>
      <c r="B203">
        <v>0</v>
      </c>
      <c r="C203" s="4">
        <v>0.58423913043478259</v>
      </c>
    </row>
    <row r="204" spans="1:3">
      <c r="A204">
        <v>110.271484375</v>
      </c>
      <c r="B204">
        <v>3</v>
      </c>
      <c r="C204" s="4">
        <v>0.58831521739130432</v>
      </c>
    </row>
    <row r="205" spans="1:3">
      <c r="A205">
        <v>110.8173828125</v>
      </c>
      <c r="B205">
        <v>0</v>
      </c>
      <c r="C205" s="4">
        <v>0.58831521739130432</v>
      </c>
    </row>
    <row r="206" spans="1:3">
      <c r="A206">
        <v>111.36328125</v>
      </c>
      <c r="B206">
        <v>7</v>
      </c>
      <c r="C206" s="4">
        <v>0.59782608695652173</v>
      </c>
    </row>
    <row r="207" spans="1:3">
      <c r="A207">
        <v>111.9091796875</v>
      </c>
      <c r="B207">
        <v>0</v>
      </c>
      <c r="C207" s="4">
        <v>0.59782608695652173</v>
      </c>
    </row>
    <row r="208" spans="1:3">
      <c r="A208">
        <v>112.455078125</v>
      </c>
      <c r="B208">
        <v>1</v>
      </c>
      <c r="C208" s="4">
        <v>0.59918478260869568</v>
      </c>
    </row>
    <row r="209" spans="1:3">
      <c r="A209">
        <v>113.0009765625</v>
      </c>
      <c r="B209">
        <v>5</v>
      </c>
      <c r="C209" s="4">
        <v>0.60597826086956519</v>
      </c>
    </row>
    <row r="210" spans="1:3">
      <c r="A210">
        <v>113.546875</v>
      </c>
      <c r="B210">
        <v>0</v>
      </c>
      <c r="C210" s="4">
        <v>0.60597826086956519</v>
      </c>
    </row>
    <row r="211" spans="1:3">
      <c r="A211">
        <v>114.0927734375</v>
      </c>
      <c r="B211">
        <v>1</v>
      </c>
      <c r="C211" s="4">
        <v>0.60733695652173914</v>
      </c>
    </row>
    <row r="212" spans="1:3">
      <c r="A212">
        <v>114.638671875</v>
      </c>
      <c r="B212">
        <v>0</v>
      </c>
      <c r="C212" s="4">
        <v>0.60733695652173914</v>
      </c>
    </row>
    <row r="213" spans="1:3">
      <c r="A213">
        <v>115.1845703125</v>
      </c>
      <c r="B213">
        <v>0</v>
      </c>
      <c r="C213" s="4">
        <v>0.60733695652173914</v>
      </c>
    </row>
    <row r="214" spans="1:3">
      <c r="A214">
        <v>115.73046875</v>
      </c>
      <c r="B214">
        <v>0</v>
      </c>
      <c r="C214" s="4">
        <v>0.60733695652173914</v>
      </c>
    </row>
    <row r="215" spans="1:3">
      <c r="A215">
        <v>116.2763671875</v>
      </c>
      <c r="B215">
        <v>1</v>
      </c>
      <c r="C215" s="4">
        <v>0.60869565217391308</v>
      </c>
    </row>
    <row r="216" spans="1:3">
      <c r="A216">
        <v>116.822265625</v>
      </c>
      <c r="B216">
        <v>0</v>
      </c>
      <c r="C216" s="4">
        <v>0.60869565217391308</v>
      </c>
    </row>
    <row r="217" spans="1:3">
      <c r="A217">
        <v>117.3681640625</v>
      </c>
      <c r="B217">
        <v>0</v>
      </c>
      <c r="C217" s="4">
        <v>0.60869565217391308</v>
      </c>
    </row>
    <row r="218" spans="1:3">
      <c r="A218">
        <v>117.9140625</v>
      </c>
      <c r="B218">
        <v>0</v>
      </c>
      <c r="C218" s="4">
        <v>0.60869565217391308</v>
      </c>
    </row>
    <row r="219" spans="1:3">
      <c r="A219">
        <v>118.4599609375</v>
      </c>
      <c r="B219">
        <v>1</v>
      </c>
      <c r="C219" s="4">
        <v>0.61005434782608692</v>
      </c>
    </row>
    <row r="220" spans="1:3">
      <c r="A220">
        <v>119.005859375</v>
      </c>
      <c r="B220">
        <v>3</v>
      </c>
      <c r="C220" s="4">
        <v>0.61413043478260865</v>
      </c>
    </row>
    <row r="221" spans="1:3">
      <c r="A221">
        <v>119.5517578125</v>
      </c>
      <c r="B221">
        <v>0</v>
      </c>
      <c r="C221" s="4">
        <v>0.61413043478260865</v>
      </c>
    </row>
    <row r="222" spans="1:3">
      <c r="A222">
        <v>120.09765625</v>
      </c>
      <c r="B222">
        <v>1</v>
      </c>
      <c r="C222" s="4">
        <v>0.61548913043478259</v>
      </c>
    </row>
    <row r="223" spans="1:3">
      <c r="A223">
        <v>120.6435546875</v>
      </c>
      <c r="B223">
        <v>0</v>
      </c>
      <c r="C223" s="4">
        <v>0.61548913043478259</v>
      </c>
    </row>
    <row r="224" spans="1:3">
      <c r="A224">
        <v>121.189453125</v>
      </c>
      <c r="B224">
        <v>3</v>
      </c>
      <c r="C224" s="4">
        <v>0.61956521739130432</v>
      </c>
    </row>
    <row r="225" spans="1:3">
      <c r="A225">
        <v>121.7353515625</v>
      </c>
      <c r="B225">
        <v>0</v>
      </c>
      <c r="C225" s="4">
        <v>0.61956521739130432</v>
      </c>
    </row>
    <row r="226" spans="1:3">
      <c r="A226">
        <v>122.28125</v>
      </c>
      <c r="B226">
        <v>0</v>
      </c>
      <c r="C226" s="4">
        <v>0.61956521739130432</v>
      </c>
    </row>
    <row r="227" spans="1:3">
      <c r="A227">
        <v>122.8271484375</v>
      </c>
      <c r="B227">
        <v>0</v>
      </c>
      <c r="C227" s="4">
        <v>0.61956521739130432</v>
      </c>
    </row>
    <row r="228" spans="1:3">
      <c r="A228">
        <v>123.373046875</v>
      </c>
      <c r="B228">
        <v>1</v>
      </c>
      <c r="C228" s="4">
        <v>0.62092391304347827</v>
      </c>
    </row>
    <row r="229" spans="1:3">
      <c r="A229">
        <v>123.9189453125</v>
      </c>
      <c r="B229">
        <v>0</v>
      </c>
      <c r="C229" s="4">
        <v>0.62092391304347827</v>
      </c>
    </row>
    <row r="230" spans="1:3">
      <c r="A230">
        <v>124.46484375</v>
      </c>
      <c r="B230">
        <v>1</v>
      </c>
      <c r="C230" s="4">
        <v>0.62228260869565222</v>
      </c>
    </row>
    <row r="231" spans="1:3">
      <c r="A231">
        <v>125.0107421875</v>
      </c>
      <c r="B231">
        <v>1</v>
      </c>
      <c r="C231" s="4">
        <v>0.62364130434782605</v>
      </c>
    </row>
    <row r="232" spans="1:3">
      <c r="A232">
        <v>125.556640625</v>
      </c>
      <c r="B232">
        <v>0</v>
      </c>
      <c r="C232" s="4">
        <v>0.62364130434782605</v>
      </c>
    </row>
    <row r="233" spans="1:3">
      <c r="A233">
        <v>126.1025390625</v>
      </c>
      <c r="B233">
        <v>3</v>
      </c>
      <c r="C233" s="4">
        <v>0.62771739130434778</v>
      </c>
    </row>
    <row r="234" spans="1:3">
      <c r="A234">
        <v>126.6484375</v>
      </c>
      <c r="B234">
        <v>0</v>
      </c>
      <c r="C234" s="4">
        <v>0.62771739130434778</v>
      </c>
    </row>
    <row r="235" spans="1:3">
      <c r="A235">
        <v>127.1943359375</v>
      </c>
      <c r="B235">
        <v>1</v>
      </c>
      <c r="C235" s="4">
        <v>0.62907608695652173</v>
      </c>
    </row>
    <row r="236" spans="1:3">
      <c r="A236">
        <v>127.740234375</v>
      </c>
      <c r="B236">
        <v>0</v>
      </c>
      <c r="C236" s="4">
        <v>0.62907608695652173</v>
      </c>
    </row>
    <row r="237" spans="1:3">
      <c r="A237">
        <v>128.2861328125</v>
      </c>
      <c r="B237">
        <v>0</v>
      </c>
      <c r="C237" s="4">
        <v>0.62907608695652173</v>
      </c>
    </row>
    <row r="238" spans="1:3">
      <c r="A238">
        <v>128.83203125</v>
      </c>
      <c r="B238">
        <v>0</v>
      </c>
      <c r="C238" s="4">
        <v>0.62907608695652173</v>
      </c>
    </row>
    <row r="239" spans="1:3">
      <c r="A239">
        <v>129.3779296875</v>
      </c>
      <c r="B239">
        <v>3</v>
      </c>
      <c r="C239" s="4">
        <v>0.63315217391304346</v>
      </c>
    </row>
    <row r="240" spans="1:3">
      <c r="A240">
        <v>129.923828125</v>
      </c>
      <c r="B240">
        <v>0</v>
      </c>
      <c r="C240" s="4">
        <v>0.63315217391304346</v>
      </c>
    </row>
    <row r="241" spans="1:3">
      <c r="A241">
        <v>130.4697265625</v>
      </c>
      <c r="B241">
        <v>2</v>
      </c>
      <c r="C241" s="4">
        <v>0.63586956521739135</v>
      </c>
    </row>
    <row r="242" spans="1:3">
      <c r="A242">
        <v>131.015625</v>
      </c>
      <c r="B242">
        <v>2</v>
      </c>
      <c r="C242" s="4">
        <v>0.63858695652173914</v>
      </c>
    </row>
    <row r="243" spans="1:3">
      <c r="A243">
        <v>131.5615234375</v>
      </c>
      <c r="B243">
        <v>0</v>
      </c>
      <c r="C243" s="4">
        <v>0.63858695652173914</v>
      </c>
    </row>
    <row r="244" spans="1:3">
      <c r="A244">
        <v>132.107421875</v>
      </c>
      <c r="B244">
        <v>1</v>
      </c>
      <c r="C244" s="4">
        <v>0.63994565217391308</v>
      </c>
    </row>
    <row r="245" spans="1:3">
      <c r="A245">
        <v>132.6533203125</v>
      </c>
      <c r="B245">
        <v>0</v>
      </c>
      <c r="C245" s="4">
        <v>0.63994565217391308</v>
      </c>
    </row>
    <row r="246" spans="1:3">
      <c r="A246">
        <v>133.19921875</v>
      </c>
      <c r="B246">
        <v>0</v>
      </c>
      <c r="C246" s="4">
        <v>0.63994565217391308</v>
      </c>
    </row>
    <row r="247" spans="1:3">
      <c r="A247">
        <v>133.7451171875</v>
      </c>
      <c r="B247">
        <v>0</v>
      </c>
      <c r="C247" s="4">
        <v>0.63994565217391308</v>
      </c>
    </row>
    <row r="248" spans="1:3">
      <c r="A248">
        <v>134.291015625</v>
      </c>
      <c r="B248">
        <v>6</v>
      </c>
      <c r="C248" s="4">
        <v>0.64809782608695654</v>
      </c>
    </row>
    <row r="249" spans="1:3">
      <c r="A249">
        <v>134.8369140625</v>
      </c>
      <c r="B249">
        <v>0</v>
      </c>
      <c r="C249" s="4">
        <v>0.64809782608695654</v>
      </c>
    </row>
    <row r="250" spans="1:3">
      <c r="A250">
        <v>135.3828125</v>
      </c>
      <c r="B250">
        <v>0</v>
      </c>
      <c r="C250" s="4">
        <v>0.64809782608695654</v>
      </c>
    </row>
    <row r="251" spans="1:3">
      <c r="A251">
        <v>135.9287109375</v>
      </c>
      <c r="B251">
        <v>0</v>
      </c>
      <c r="C251" s="4">
        <v>0.64809782608695654</v>
      </c>
    </row>
    <row r="252" spans="1:3">
      <c r="A252">
        <v>136.474609375</v>
      </c>
      <c r="B252">
        <v>3</v>
      </c>
      <c r="C252" s="4">
        <v>0.65217391304347827</v>
      </c>
    </row>
    <row r="253" spans="1:3">
      <c r="A253">
        <v>137.0205078125</v>
      </c>
      <c r="B253">
        <v>2</v>
      </c>
      <c r="C253" s="4">
        <v>0.65489130434782605</v>
      </c>
    </row>
    <row r="254" spans="1:3">
      <c r="A254">
        <v>137.56640625</v>
      </c>
      <c r="B254">
        <v>0</v>
      </c>
      <c r="C254" s="4">
        <v>0.65489130434782605</v>
      </c>
    </row>
    <row r="255" spans="1:3">
      <c r="A255">
        <v>138.1123046875</v>
      </c>
      <c r="B255">
        <v>2</v>
      </c>
      <c r="C255" s="4">
        <v>0.65760869565217395</v>
      </c>
    </row>
    <row r="256" spans="1:3">
      <c r="A256">
        <v>138.658203125</v>
      </c>
      <c r="B256">
        <v>0</v>
      </c>
      <c r="C256" s="4">
        <v>0.65760869565217395</v>
      </c>
    </row>
    <row r="257" spans="1:3">
      <c r="A257">
        <v>139.2041015625</v>
      </c>
      <c r="B257">
        <v>3</v>
      </c>
      <c r="C257" s="4">
        <v>0.66168478260869568</v>
      </c>
    </row>
    <row r="258" spans="1:3">
      <c r="A258">
        <v>139.75</v>
      </c>
      <c r="B258">
        <v>0</v>
      </c>
      <c r="C258" s="4">
        <v>0.66168478260869568</v>
      </c>
    </row>
    <row r="259" spans="1:3">
      <c r="A259">
        <v>140.2958984375</v>
      </c>
      <c r="B259">
        <v>2</v>
      </c>
      <c r="C259" s="4">
        <v>0.66440217391304346</v>
      </c>
    </row>
    <row r="260" spans="1:3">
      <c r="A260">
        <v>140.841796875</v>
      </c>
      <c r="B260">
        <v>0</v>
      </c>
      <c r="C260" s="4">
        <v>0.66440217391304346</v>
      </c>
    </row>
    <row r="261" spans="1:3">
      <c r="A261">
        <v>141.3876953125</v>
      </c>
      <c r="B261">
        <v>0</v>
      </c>
      <c r="C261" s="4">
        <v>0.66440217391304346</v>
      </c>
    </row>
    <row r="262" spans="1:3">
      <c r="A262">
        <v>141.93359375</v>
      </c>
      <c r="B262">
        <v>0</v>
      </c>
      <c r="C262" s="4">
        <v>0.66440217391304346</v>
      </c>
    </row>
    <row r="263" spans="1:3">
      <c r="A263">
        <v>142.4794921875</v>
      </c>
      <c r="B263">
        <v>4</v>
      </c>
      <c r="C263" s="4">
        <v>0.66983695652173914</v>
      </c>
    </row>
    <row r="264" spans="1:3">
      <c r="A264">
        <v>143.025390625</v>
      </c>
      <c r="B264">
        <v>2</v>
      </c>
      <c r="C264" s="4">
        <v>0.67255434782608692</v>
      </c>
    </row>
    <row r="265" spans="1:3">
      <c r="A265">
        <v>143.5712890625</v>
      </c>
      <c r="B265">
        <v>0</v>
      </c>
      <c r="C265" s="4">
        <v>0.67255434782608692</v>
      </c>
    </row>
    <row r="266" spans="1:3">
      <c r="A266">
        <v>144.1171875</v>
      </c>
      <c r="B266">
        <v>4</v>
      </c>
      <c r="C266" s="4">
        <v>0.67798913043478259</v>
      </c>
    </row>
    <row r="267" spans="1:3">
      <c r="A267">
        <v>144.6630859375</v>
      </c>
      <c r="B267">
        <v>0</v>
      </c>
      <c r="C267" s="4">
        <v>0.67798913043478259</v>
      </c>
    </row>
    <row r="268" spans="1:3">
      <c r="A268">
        <v>145.208984375</v>
      </c>
      <c r="B268">
        <v>1</v>
      </c>
      <c r="C268" s="4">
        <v>0.67934782608695654</v>
      </c>
    </row>
    <row r="269" spans="1:3">
      <c r="A269">
        <v>145.7548828125</v>
      </c>
      <c r="B269">
        <v>0</v>
      </c>
      <c r="C269" s="4">
        <v>0.67934782608695654</v>
      </c>
    </row>
    <row r="270" spans="1:3">
      <c r="A270">
        <v>146.30078125</v>
      </c>
      <c r="B270">
        <v>2</v>
      </c>
      <c r="C270" s="4">
        <v>0.68206521739130432</v>
      </c>
    </row>
    <row r="271" spans="1:3">
      <c r="A271">
        <v>146.8466796875</v>
      </c>
      <c r="B271">
        <v>0</v>
      </c>
      <c r="C271" s="4">
        <v>0.68206521739130432</v>
      </c>
    </row>
    <row r="272" spans="1:3">
      <c r="A272">
        <v>147.392578125</v>
      </c>
      <c r="B272">
        <v>5</v>
      </c>
      <c r="C272" s="4">
        <v>0.68885869565217395</v>
      </c>
    </row>
    <row r="273" spans="1:3">
      <c r="A273">
        <v>147.9384765625</v>
      </c>
      <c r="B273">
        <v>0</v>
      </c>
      <c r="C273" s="4">
        <v>0.68885869565217395</v>
      </c>
    </row>
    <row r="274" spans="1:3">
      <c r="A274">
        <v>148.484375</v>
      </c>
      <c r="B274">
        <v>2</v>
      </c>
      <c r="C274" s="4">
        <v>0.69157608695652173</v>
      </c>
    </row>
    <row r="275" spans="1:3">
      <c r="A275">
        <v>149.0302734375</v>
      </c>
      <c r="B275">
        <v>2</v>
      </c>
      <c r="C275" s="4">
        <v>0.69429347826086951</v>
      </c>
    </row>
    <row r="276" spans="1:3">
      <c r="A276">
        <v>149.576171875</v>
      </c>
      <c r="B276">
        <v>0</v>
      </c>
      <c r="C276" s="4">
        <v>0.69429347826086951</v>
      </c>
    </row>
    <row r="277" spans="1:3">
      <c r="A277">
        <v>150.1220703125</v>
      </c>
      <c r="B277">
        <v>1</v>
      </c>
      <c r="C277" s="4">
        <v>0.69565217391304346</v>
      </c>
    </row>
    <row r="278" spans="1:3">
      <c r="A278">
        <v>150.66796875</v>
      </c>
      <c r="B278">
        <v>0</v>
      </c>
      <c r="C278" s="4">
        <v>0.69565217391304346</v>
      </c>
    </row>
    <row r="279" spans="1:3">
      <c r="A279">
        <v>151.2138671875</v>
      </c>
      <c r="B279">
        <v>0</v>
      </c>
      <c r="C279" s="4">
        <v>0.69565217391304346</v>
      </c>
    </row>
    <row r="280" spans="1:3">
      <c r="A280">
        <v>151.759765625</v>
      </c>
      <c r="B280">
        <v>0</v>
      </c>
      <c r="C280" s="4">
        <v>0.69565217391304346</v>
      </c>
    </row>
    <row r="281" spans="1:3">
      <c r="A281">
        <v>152.3056640625</v>
      </c>
      <c r="B281">
        <v>4</v>
      </c>
      <c r="C281" s="4">
        <v>0.70108695652173914</v>
      </c>
    </row>
    <row r="282" spans="1:3">
      <c r="A282">
        <v>152.8515625</v>
      </c>
      <c r="B282">
        <v>0</v>
      </c>
      <c r="C282" s="4">
        <v>0.70108695652173914</v>
      </c>
    </row>
    <row r="283" spans="1:3">
      <c r="A283">
        <v>153.3974609375</v>
      </c>
      <c r="B283">
        <v>0</v>
      </c>
      <c r="C283" s="4">
        <v>0.70108695652173914</v>
      </c>
    </row>
    <row r="284" spans="1:3">
      <c r="A284">
        <v>153.943359375</v>
      </c>
      <c r="B284">
        <v>0</v>
      </c>
      <c r="C284" s="4">
        <v>0.70108695652173914</v>
      </c>
    </row>
    <row r="285" spans="1:3">
      <c r="A285">
        <v>154.4892578125</v>
      </c>
      <c r="B285">
        <v>2</v>
      </c>
      <c r="C285" s="4">
        <v>0.70380434782608692</v>
      </c>
    </row>
    <row r="286" spans="1:3">
      <c r="A286">
        <v>155.03515625</v>
      </c>
      <c r="B286">
        <v>2</v>
      </c>
      <c r="C286" s="4">
        <v>0.70652173913043481</v>
      </c>
    </row>
    <row r="287" spans="1:3">
      <c r="A287">
        <v>155.5810546875</v>
      </c>
      <c r="B287">
        <v>0</v>
      </c>
      <c r="C287" s="4">
        <v>0.70652173913043481</v>
      </c>
    </row>
    <row r="288" spans="1:3">
      <c r="A288">
        <v>156.126953125</v>
      </c>
      <c r="B288">
        <v>1</v>
      </c>
      <c r="C288" s="4">
        <v>0.70788043478260865</v>
      </c>
    </row>
    <row r="289" spans="1:3">
      <c r="A289">
        <v>156.6728515625</v>
      </c>
      <c r="B289">
        <v>0</v>
      </c>
      <c r="C289" s="4">
        <v>0.70788043478260865</v>
      </c>
    </row>
    <row r="290" spans="1:3">
      <c r="A290">
        <v>157.21875</v>
      </c>
      <c r="B290">
        <v>3</v>
      </c>
      <c r="C290" s="4">
        <v>0.71195652173913049</v>
      </c>
    </row>
    <row r="291" spans="1:3">
      <c r="A291">
        <v>157.7646484375</v>
      </c>
      <c r="B291">
        <v>0</v>
      </c>
      <c r="C291" s="4">
        <v>0.71195652173913049</v>
      </c>
    </row>
    <row r="292" spans="1:3">
      <c r="A292">
        <v>158.310546875</v>
      </c>
      <c r="B292">
        <v>0</v>
      </c>
      <c r="C292" s="4">
        <v>0.71195652173913049</v>
      </c>
    </row>
    <row r="293" spans="1:3">
      <c r="A293">
        <v>158.8564453125</v>
      </c>
      <c r="B293">
        <v>0</v>
      </c>
      <c r="C293" s="4">
        <v>0.71195652173913049</v>
      </c>
    </row>
    <row r="294" spans="1:3">
      <c r="A294">
        <v>159.40234375</v>
      </c>
      <c r="B294">
        <v>1</v>
      </c>
      <c r="C294" s="4">
        <v>0.71331521739130432</v>
      </c>
    </row>
    <row r="295" spans="1:3">
      <c r="A295">
        <v>159.9482421875</v>
      </c>
      <c r="B295">
        <v>0</v>
      </c>
      <c r="C295" s="4">
        <v>0.71331521739130432</v>
      </c>
    </row>
    <row r="296" spans="1:3">
      <c r="A296">
        <v>160.494140625</v>
      </c>
      <c r="B296">
        <v>0</v>
      </c>
      <c r="C296" s="4">
        <v>0.71331521739130432</v>
      </c>
    </row>
    <row r="297" spans="1:3">
      <c r="A297">
        <v>161.0400390625</v>
      </c>
      <c r="B297">
        <v>2</v>
      </c>
      <c r="C297" s="4">
        <v>0.71603260869565222</v>
      </c>
    </row>
    <row r="298" spans="1:3">
      <c r="A298">
        <v>161.5859375</v>
      </c>
      <c r="B298">
        <v>0</v>
      </c>
      <c r="C298" s="4">
        <v>0.71603260869565222</v>
      </c>
    </row>
    <row r="299" spans="1:3">
      <c r="A299">
        <v>162.1318359375</v>
      </c>
      <c r="B299">
        <v>3</v>
      </c>
      <c r="C299" s="4">
        <v>0.72010869565217395</v>
      </c>
    </row>
    <row r="300" spans="1:3">
      <c r="A300">
        <v>162.677734375</v>
      </c>
      <c r="B300">
        <v>0</v>
      </c>
      <c r="C300" s="4">
        <v>0.72010869565217395</v>
      </c>
    </row>
    <row r="301" spans="1:3">
      <c r="A301">
        <v>163.2236328125</v>
      </c>
      <c r="B301">
        <v>3</v>
      </c>
      <c r="C301" s="4">
        <v>0.72418478260869568</v>
      </c>
    </row>
    <row r="302" spans="1:3">
      <c r="A302">
        <v>163.76953125</v>
      </c>
      <c r="B302">
        <v>0</v>
      </c>
      <c r="C302" s="4">
        <v>0.72418478260869568</v>
      </c>
    </row>
    <row r="303" spans="1:3">
      <c r="A303">
        <v>164.3154296875</v>
      </c>
      <c r="B303">
        <v>6</v>
      </c>
      <c r="C303" s="4">
        <v>0.73233695652173914</v>
      </c>
    </row>
    <row r="304" spans="1:3">
      <c r="A304">
        <v>164.861328125</v>
      </c>
      <c r="B304">
        <v>0</v>
      </c>
      <c r="C304" s="4">
        <v>0.73233695652173914</v>
      </c>
    </row>
    <row r="305" spans="1:3">
      <c r="A305">
        <v>165.4072265625</v>
      </c>
      <c r="B305">
        <v>4</v>
      </c>
      <c r="C305" s="4">
        <v>0.73777173913043481</v>
      </c>
    </row>
    <row r="306" spans="1:3">
      <c r="A306">
        <v>165.953125</v>
      </c>
      <c r="B306">
        <v>0</v>
      </c>
      <c r="C306" s="4">
        <v>0.73777173913043481</v>
      </c>
    </row>
    <row r="307" spans="1:3">
      <c r="A307">
        <v>166.4990234375</v>
      </c>
      <c r="B307">
        <v>1</v>
      </c>
      <c r="C307" s="4">
        <v>0.73913043478260865</v>
      </c>
    </row>
    <row r="308" spans="1:3">
      <c r="A308">
        <v>167.044921875</v>
      </c>
      <c r="B308">
        <v>1</v>
      </c>
      <c r="C308" s="4">
        <v>0.74048913043478259</v>
      </c>
    </row>
    <row r="309" spans="1:3">
      <c r="A309">
        <v>167.5908203125</v>
      </c>
      <c r="B309">
        <v>0</v>
      </c>
      <c r="C309" s="4">
        <v>0.74048913043478259</v>
      </c>
    </row>
    <row r="310" spans="1:3">
      <c r="A310">
        <v>168.13671875</v>
      </c>
      <c r="B310">
        <v>1</v>
      </c>
      <c r="C310" s="4">
        <v>0.74184782608695654</v>
      </c>
    </row>
    <row r="311" spans="1:3">
      <c r="A311">
        <v>168.6826171875</v>
      </c>
      <c r="B311">
        <v>0</v>
      </c>
      <c r="C311" s="4">
        <v>0.74184782608695654</v>
      </c>
    </row>
    <row r="312" spans="1:3">
      <c r="A312">
        <v>169.228515625</v>
      </c>
      <c r="B312">
        <v>0</v>
      </c>
      <c r="C312" s="4">
        <v>0.74184782608695654</v>
      </c>
    </row>
    <row r="313" spans="1:3">
      <c r="A313">
        <v>169.7744140625</v>
      </c>
      <c r="B313">
        <v>0</v>
      </c>
      <c r="C313" s="4">
        <v>0.74184782608695654</v>
      </c>
    </row>
    <row r="314" spans="1:3">
      <c r="A314">
        <v>170.3203125</v>
      </c>
      <c r="B314">
        <v>1</v>
      </c>
      <c r="C314" s="4">
        <v>0.74320652173913049</v>
      </c>
    </row>
    <row r="315" spans="1:3">
      <c r="A315">
        <v>170.8662109375</v>
      </c>
      <c r="B315">
        <v>0</v>
      </c>
      <c r="C315" s="4">
        <v>0.74320652173913049</v>
      </c>
    </row>
    <row r="316" spans="1:3">
      <c r="A316">
        <v>171.412109375</v>
      </c>
      <c r="B316">
        <v>1</v>
      </c>
      <c r="C316" s="4">
        <v>0.74456521739130432</v>
      </c>
    </row>
    <row r="317" spans="1:3">
      <c r="A317">
        <v>171.9580078125</v>
      </c>
      <c r="B317">
        <v>0</v>
      </c>
      <c r="C317" s="4">
        <v>0.74456521739130432</v>
      </c>
    </row>
    <row r="318" spans="1:3">
      <c r="A318">
        <v>172.50390625</v>
      </c>
      <c r="B318">
        <v>4</v>
      </c>
      <c r="C318" s="4">
        <v>0.75</v>
      </c>
    </row>
    <row r="319" spans="1:3">
      <c r="A319">
        <v>173.0498046875</v>
      </c>
      <c r="B319">
        <v>2</v>
      </c>
      <c r="C319" s="4">
        <v>0.75271739130434778</v>
      </c>
    </row>
    <row r="320" spans="1:3">
      <c r="A320">
        <v>173.595703125</v>
      </c>
      <c r="B320">
        <v>0</v>
      </c>
      <c r="C320" s="4">
        <v>0.75271739130434778</v>
      </c>
    </row>
    <row r="321" spans="1:3">
      <c r="A321">
        <v>174.1416015625</v>
      </c>
      <c r="B321">
        <v>3</v>
      </c>
      <c r="C321" s="4">
        <v>0.75679347826086951</v>
      </c>
    </row>
    <row r="322" spans="1:3">
      <c r="A322">
        <v>174.6875</v>
      </c>
      <c r="B322">
        <v>0</v>
      </c>
      <c r="C322" s="4">
        <v>0.75679347826086951</v>
      </c>
    </row>
    <row r="323" spans="1:3">
      <c r="A323">
        <v>175.2333984375</v>
      </c>
      <c r="B323">
        <v>0</v>
      </c>
      <c r="C323" s="4">
        <v>0.75679347826086951</v>
      </c>
    </row>
    <row r="324" spans="1:3">
      <c r="A324">
        <v>175.779296875</v>
      </c>
      <c r="B324">
        <v>0</v>
      </c>
      <c r="C324" s="4">
        <v>0.75679347826086951</v>
      </c>
    </row>
    <row r="325" spans="1:3">
      <c r="A325">
        <v>176.3251953125</v>
      </c>
      <c r="B325">
        <v>2</v>
      </c>
      <c r="C325" s="4">
        <v>0.75951086956521741</v>
      </c>
    </row>
    <row r="326" spans="1:3">
      <c r="A326">
        <v>176.87109375</v>
      </c>
      <c r="B326">
        <v>0</v>
      </c>
      <c r="C326" s="4">
        <v>0.75951086956521741</v>
      </c>
    </row>
    <row r="327" spans="1:3">
      <c r="A327">
        <v>177.4169921875</v>
      </c>
      <c r="B327">
        <v>1</v>
      </c>
      <c r="C327" s="4">
        <v>0.76086956521739135</v>
      </c>
    </row>
    <row r="328" spans="1:3">
      <c r="A328">
        <v>177.962890625</v>
      </c>
      <c r="B328">
        <v>0</v>
      </c>
      <c r="C328" s="4">
        <v>0.76086956521739135</v>
      </c>
    </row>
    <row r="329" spans="1:3">
      <c r="A329">
        <v>178.5087890625</v>
      </c>
      <c r="B329">
        <v>1</v>
      </c>
      <c r="C329" s="4">
        <v>0.76222826086956519</v>
      </c>
    </row>
    <row r="330" spans="1:3">
      <c r="A330">
        <v>179.0546875</v>
      </c>
      <c r="B330">
        <v>2</v>
      </c>
      <c r="C330" s="4">
        <v>0.76494565217391308</v>
      </c>
    </row>
    <row r="331" spans="1:3">
      <c r="A331">
        <v>179.6005859375</v>
      </c>
      <c r="B331">
        <v>0</v>
      </c>
      <c r="C331" s="4">
        <v>0.76494565217391308</v>
      </c>
    </row>
    <row r="332" spans="1:3">
      <c r="A332">
        <v>180.146484375</v>
      </c>
      <c r="B332">
        <v>3</v>
      </c>
      <c r="C332" s="4">
        <v>0.76902173913043481</v>
      </c>
    </row>
    <row r="333" spans="1:3">
      <c r="A333">
        <v>180.6923828125</v>
      </c>
      <c r="B333">
        <v>0</v>
      </c>
      <c r="C333" s="4">
        <v>0.76902173913043481</v>
      </c>
    </row>
    <row r="334" spans="1:3">
      <c r="A334">
        <v>181.23828125</v>
      </c>
      <c r="B334">
        <v>2</v>
      </c>
      <c r="C334" s="4">
        <v>0.77173913043478259</v>
      </c>
    </row>
    <row r="335" spans="1:3">
      <c r="A335">
        <v>181.7841796875</v>
      </c>
      <c r="B335">
        <v>0</v>
      </c>
      <c r="C335" s="4">
        <v>0.77173913043478259</v>
      </c>
    </row>
    <row r="336" spans="1:3">
      <c r="A336">
        <v>182.330078125</v>
      </c>
      <c r="B336">
        <v>1</v>
      </c>
      <c r="C336" s="4">
        <v>0.77309782608695654</v>
      </c>
    </row>
    <row r="337" spans="1:3">
      <c r="A337">
        <v>182.8759765625</v>
      </c>
      <c r="B337">
        <v>0</v>
      </c>
      <c r="C337" s="4">
        <v>0.77309782608695654</v>
      </c>
    </row>
    <row r="338" spans="1:3">
      <c r="A338">
        <v>183.421875</v>
      </c>
      <c r="B338">
        <v>0</v>
      </c>
      <c r="C338" s="4">
        <v>0.77309782608695654</v>
      </c>
    </row>
    <row r="339" spans="1:3">
      <c r="A339">
        <v>183.9677734375</v>
      </c>
      <c r="B339">
        <v>0</v>
      </c>
      <c r="C339" s="4">
        <v>0.77309782608695654</v>
      </c>
    </row>
    <row r="340" spans="1:3">
      <c r="A340">
        <v>184.513671875</v>
      </c>
      <c r="B340">
        <v>2</v>
      </c>
      <c r="C340" s="4">
        <v>0.77581521739130432</v>
      </c>
    </row>
    <row r="341" spans="1:3">
      <c r="A341">
        <v>185.0595703125</v>
      </c>
      <c r="B341">
        <v>3</v>
      </c>
      <c r="C341" s="4">
        <v>0.77989130434782605</v>
      </c>
    </row>
    <row r="342" spans="1:3">
      <c r="A342">
        <v>185.60546875</v>
      </c>
      <c r="B342">
        <v>0</v>
      </c>
      <c r="C342" s="4">
        <v>0.77989130434782605</v>
      </c>
    </row>
    <row r="343" spans="1:3">
      <c r="A343">
        <v>186.1513671875</v>
      </c>
      <c r="B343">
        <v>2</v>
      </c>
      <c r="C343" s="4">
        <v>0.78260869565217395</v>
      </c>
    </row>
    <row r="344" spans="1:3">
      <c r="A344">
        <v>186.697265625</v>
      </c>
      <c r="B344">
        <v>0</v>
      </c>
      <c r="C344" s="4">
        <v>0.78260869565217395</v>
      </c>
    </row>
    <row r="345" spans="1:3">
      <c r="A345">
        <v>187.2431640625</v>
      </c>
      <c r="B345">
        <v>3</v>
      </c>
      <c r="C345" s="4">
        <v>0.78668478260869568</v>
      </c>
    </row>
    <row r="346" spans="1:3">
      <c r="A346">
        <v>187.7890625</v>
      </c>
      <c r="B346">
        <v>0</v>
      </c>
      <c r="C346" s="4">
        <v>0.78668478260869568</v>
      </c>
    </row>
    <row r="347" spans="1:3">
      <c r="A347">
        <v>188.3349609375</v>
      </c>
      <c r="B347">
        <v>1</v>
      </c>
      <c r="C347" s="4">
        <v>0.78804347826086951</v>
      </c>
    </row>
    <row r="348" spans="1:3">
      <c r="A348">
        <v>188.880859375</v>
      </c>
      <c r="B348">
        <v>0</v>
      </c>
      <c r="C348" s="4">
        <v>0.78804347826086951</v>
      </c>
    </row>
    <row r="349" spans="1:3">
      <c r="A349">
        <v>189.4267578125</v>
      </c>
      <c r="B349">
        <v>2</v>
      </c>
      <c r="C349" s="4">
        <v>0.79076086956521741</v>
      </c>
    </row>
    <row r="350" spans="1:3">
      <c r="A350">
        <v>189.97265625</v>
      </c>
      <c r="B350">
        <v>0</v>
      </c>
      <c r="C350" s="4">
        <v>0.79076086956521741</v>
      </c>
    </row>
    <row r="351" spans="1:3">
      <c r="A351">
        <v>190.5185546875</v>
      </c>
      <c r="B351">
        <v>0</v>
      </c>
      <c r="C351" s="4">
        <v>0.79076086956521741</v>
      </c>
    </row>
    <row r="352" spans="1:3">
      <c r="A352">
        <v>191.064453125</v>
      </c>
      <c r="B352">
        <v>2</v>
      </c>
      <c r="C352" s="4">
        <v>0.79347826086956519</v>
      </c>
    </row>
    <row r="353" spans="1:3">
      <c r="A353">
        <v>191.6103515625</v>
      </c>
      <c r="B353">
        <v>0</v>
      </c>
      <c r="C353" s="4">
        <v>0.79347826086956519</v>
      </c>
    </row>
    <row r="354" spans="1:3">
      <c r="A354">
        <v>192.15625</v>
      </c>
      <c r="B354">
        <v>1</v>
      </c>
      <c r="C354" s="4">
        <v>0.79483695652173914</v>
      </c>
    </row>
    <row r="355" spans="1:3">
      <c r="A355">
        <v>192.7021484375</v>
      </c>
      <c r="B355">
        <v>0</v>
      </c>
      <c r="C355" s="4">
        <v>0.79483695652173914</v>
      </c>
    </row>
    <row r="356" spans="1:3">
      <c r="A356">
        <v>193.248046875</v>
      </c>
      <c r="B356">
        <v>1</v>
      </c>
      <c r="C356" s="4">
        <v>0.79619565217391308</v>
      </c>
    </row>
    <row r="357" spans="1:3">
      <c r="A357">
        <v>193.7939453125</v>
      </c>
      <c r="B357">
        <v>0</v>
      </c>
      <c r="C357" s="4">
        <v>0.79619565217391308</v>
      </c>
    </row>
    <row r="358" spans="1:3">
      <c r="A358">
        <v>194.33984375</v>
      </c>
      <c r="B358">
        <v>0</v>
      </c>
      <c r="C358" s="4">
        <v>0.79619565217391308</v>
      </c>
    </row>
    <row r="359" spans="1:3">
      <c r="A359">
        <v>194.8857421875</v>
      </c>
      <c r="B359">
        <v>0</v>
      </c>
      <c r="C359" s="4">
        <v>0.79619565217391308</v>
      </c>
    </row>
    <row r="360" spans="1:3">
      <c r="A360">
        <v>195.431640625</v>
      </c>
      <c r="B360">
        <v>0</v>
      </c>
      <c r="C360" s="4">
        <v>0.79619565217391308</v>
      </c>
    </row>
    <row r="361" spans="1:3">
      <c r="A361">
        <v>195.9775390625</v>
      </c>
      <c r="B361">
        <v>0</v>
      </c>
      <c r="C361" s="4">
        <v>0.79619565217391308</v>
      </c>
    </row>
    <row r="362" spans="1:3">
      <c r="A362">
        <v>196.5234375</v>
      </c>
      <c r="B362">
        <v>1</v>
      </c>
      <c r="C362" s="4">
        <v>0.79755434782608692</v>
      </c>
    </row>
    <row r="363" spans="1:3">
      <c r="A363">
        <v>197.0693359375</v>
      </c>
      <c r="B363">
        <v>2</v>
      </c>
      <c r="C363" s="4">
        <v>0.80027173913043481</v>
      </c>
    </row>
    <row r="364" spans="1:3">
      <c r="A364">
        <v>197.615234375</v>
      </c>
      <c r="B364">
        <v>0</v>
      </c>
      <c r="C364" s="4">
        <v>0.80027173913043481</v>
      </c>
    </row>
    <row r="365" spans="1:3">
      <c r="A365">
        <v>198.1611328125</v>
      </c>
      <c r="B365">
        <v>2</v>
      </c>
      <c r="C365" s="4">
        <v>0.80298913043478259</v>
      </c>
    </row>
    <row r="366" spans="1:3">
      <c r="A366">
        <v>198.70703125</v>
      </c>
      <c r="B366">
        <v>0</v>
      </c>
      <c r="C366" s="4">
        <v>0.80298913043478259</v>
      </c>
    </row>
    <row r="367" spans="1:3">
      <c r="A367">
        <v>199.2529296875</v>
      </c>
      <c r="B367">
        <v>1</v>
      </c>
      <c r="C367" s="4">
        <v>0.80434782608695654</v>
      </c>
    </row>
    <row r="368" spans="1:3">
      <c r="A368">
        <v>199.798828125</v>
      </c>
      <c r="B368">
        <v>0</v>
      </c>
      <c r="C368" s="4">
        <v>0.80434782608695654</v>
      </c>
    </row>
    <row r="369" spans="1:3">
      <c r="A369">
        <v>200.3447265625</v>
      </c>
      <c r="B369">
        <v>1</v>
      </c>
      <c r="C369" s="4">
        <v>0.80570652173913049</v>
      </c>
    </row>
    <row r="370" spans="1:3">
      <c r="A370">
        <v>200.890625</v>
      </c>
      <c r="B370">
        <v>0</v>
      </c>
      <c r="C370" s="4">
        <v>0.80570652173913049</v>
      </c>
    </row>
    <row r="371" spans="1:3">
      <c r="A371">
        <v>201.4365234375</v>
      </c>
      <c r="B371">
        <v>2</v>
      </c>
      <c r="C371" s="4">
        <v>0.80842391304347827</v>
      </c>
    </row>
    <row r="372" spans="1:3">
      <c r="A372">
        <v>201.982421875</v>
      </c>
      <c r="B372">
        <v>0</v>
      </c>
      <c r="C372" s="4">
        <v>0.80842391304347827</v>
      </c>
    </row>
    <row r="373" spans="1:3">
      <c r="A373">
        <v>202.5283203125</v>
      </c>
      <c r="B373">
        <v>1</v>
      </c>
      <c r="C373" s="4">
        <v>0.80978260869565222</v>
      </c>
    </row>
    <row r="374" spans="1:3">
      <c r="A374">
        <v>203.07421875</v>
      </c>
      <c r="B374">
        <v>2</v>
      </c>
      <c r="C374" s="4">
        <v>0.8125</v>
      </c>
    </row>
    <row r="375" spans="1:3">
      <c r="A375">
        <v>203.6201171875</v>
      </c>
      <c r="B375">
        <v>0</v>
      </c>
      <c r="C375" s="4">
        <v>0.8125</v>
      </c>
    </row>
    <row r="376" spans="1:3">
      <c r="A376">
        <v>204.166015625</v>
      </c>
      <c r="B376">
        <v>1</v>
      </c>
      <c r="C376" s="4">
        <v>0.81385869565217395</v>
      </c>
    </row>
    <row r="377" spans="1:3">
      <c r="A377">
        <v>204.7119140625</v>
      </c>
      <c r="B377">
        <v>0</v>
      </c>
      <c r="C377" s="4">
        <v>0.81385869565217395</v>
      </c>
    </row>
    <row r="378" spans="1:3">
      <c r="A378">
        <v>205.2578125</v>
      </c>
      <c r="B378">
        <v>1</v>
      </c>
      <c r="C378" s="4">
        <v>0.81521739130434778</v>
      </c>
    </row>
    <row r="379" spans="1:3">
      <c r="A379">
        <v>205.8037109375</v>
      </c>
      <c r="B379">
        <v>0</v>
      </c>
      <c r="C379" s="4">
        <v>0.81521739130434778</v>
      </c>
    </row>
    <row r="380" spans="1:3">
      <c r="A380">
        <v>206.349609375</v>
      </c>
      <c r="B380">
        <v>0</v>
      </c>
      <c r="C380" s="4">
        <v>0.81521739130434778</v>
      </c>
    </row>
    <row r="381" spans="1:3">
      <c r="A381">
        <v>206.8955078125</v>
      </c>
      <c r="B381">
        <v>0</v>
      </c>
      <c r="C381" s="4">
        <v>0.81521739130434778</v>
      </c>
    </row>
    <row r="382" spans="1:3">
      <c r="A382">
        <v>207.44140625</v>
      </c>
      <c r="B382">
        <v>0</v>
      </c>
      <c r="C382" s="4">
        <v>0.81521739130434778</v>
      </c>
    </row>
    <row r="383" spans="1:3">
      <c r="A383">
        <v>207.9873046875</v>
      </c>
      <c r="B383">
        <v>0</v>
      </c>
      <c r="C383" s="4">
        <v>0.81521739130434778</v>
      </c>
    </row>
    <row r="384" spans="1:3">
      <c r="A384">
        <v>208.533203125</v>
      </c>
      <c r="B384">
        <v>0</v>
      </c>
      <c r="C384" s="4">
        <v>0.81521739130434778</v>
      </c>
    </row>
    <row r="385" spans="1:3">
      <c r="A385">
        <v>209.0791015625</v>
      </c>
      <c r="B385">
        <v>0</v>
      </c>
      <c r="C385" s="4">
        <v>0.81521739130434778</v>
      </c>
    </row>
    <row r="386" spans="1:3">
      <c r="A386">
        <v>209.625</v>
      </c>
      <c r="B386">
        <v>0</v>
      </c>
      <c r="C386" s="4">
        <v>0.81521739130434778</v>
      </c>
    </row>
    <row r="387" spans="1:3">
      <c r="A387">
        <v>210.1708984375</v>
      </c>
      <c r="B387">
        <v>1</v>
      </c>
      <c r="C387" s="4">
        <v>0.81657608695652173</v>
      </c>
    </row>
    <row r="388" spans="1:3">
      <c r="A388">
        <v>210.716796875</v>
      </c>
      <c r="B388">
        <v>0</v>
      </c>
      <c r="C388" s="4">
        <v>0.81657608695652173</v>
      </c>
    </row>
    <row r="389" spans="1:3">
      <c r="A389">
        <v>211.2626953125</v>
      </c>
      <c r="B389">
        <v>1</v>
      </c>
      <c r="C389" s="4">
        <v>0.81793478260869568</v>
      </c>
    </row>
    <row r="390" spans="1:3">
      <c r="A390">
        <v>211.80859375</v>
      </c>
      <c r="B390">
        <v>0</v>
      </c>
      <c r="C390" s="4">
        <v>0.81793478260869568</v>
      </c>
    </row>
    <row r="391" spans="1:3">
      <c r="A391">
        <v>212.3544921875</v>
      </c>
      <c r="B391">
        <v>0</v>
      </c>
      <c r="C391" s="4">
        <v>0.81793478260869568</v>
      </c>
    </row>
    <row r="392" spans="1:3">
      <c r="A392">
        <v>212.900390625</v>
      </c>
      <c r="B392">
        <v>0</v>
      </c>
      <c r="C392" s="4">
        <v>0.81793478260869568</v>
      </c>
    </row>
    <row r="393" spans="1:3">
      <c r="A393">
        <v>213.4462890625</v>
      </c>
      <c r="B393">
        <v>0</v>
      </c>
      <c r="C393" s="4">
        <v>0.81793478260869568</v>
      </c>
    </row>
    <row r="394" spans="1:3">
      <c r="A394">
        <v>213.9921875</v>
      </c>
      <c r="B394">
        <v>0</v>
      </c>
      <c r="C394" s="4">
        <v>0.81793478260869568</v>
      </c>
    </row>
    <row r="395" spans="1:3">
      <c r="A395">
        <v>214.5380859375</v>
      </c>
      <c r="B395">
        <v>0</v>
      </c>
      <c r="C395" s="4">
        <v>0.81793478260869568</v>
      </c>
    </row>
    <row r="396" spans="1:3">
      <c r="A396">
        <v>215.083984375</v>
      </c>
      <c r="B396">
        <v>1</v>
      </c>
      <c r="C396" s="4">
        <v>0.81929347826086951</v>
      </c>
    </row>
    <row r="397" spans="1:3">
      <c r="A397">
        <v>215.6298828125</v>
      </c>
      <c r="B397">
        <v>0</v>
      </c>
      <c r="C397" s="4">
        <v>0.81929347826086951</v>
      </c>
    </row>
    <row r="398" spans="1:3">
      <c r="A398">
        <v>216.17578125</v>
      </c>
      <c r="B398">
        <v>1</v>
      </c>
      <c r="C398" s="4">
        <v>0.82065217391304346</v>
      </c>
    </row>
    <row r="399" spans="1:3">
      <c r="A399">
        <v>216.7216796875</v>
      </c>
      <c r="B399">
        <v>0</v>
      </c>
      <c r="C399" s="4">
        <v>0.82065217391304346</v>
      </c>
    </row>
    <row r="400" spans="1:3">
      <c r="A400">
        <v>217.267578125</v>
      </c>
      <c r="B400">
        <v>0</v>
      </c>
      <c r="C400" s="4">
        <v>0.82065217391304346</v>
      </c>
    </row>
    <row r="401" spans="1:3">
      <c r="A401">
        <v>217.8134765625</v>
      </c>
      <c r="B401">
        <v>0</v>
      </c>
      <c r="C401" s="4">
        <v>0.82065217391304346</v>
      </c>
    </row>
    <row r="402" spans="1:3">
      <c r="A402">
        <v>218.359375</v>
      </c>
      <c r="B402">
        <v>1</v>
      </c>
      <c r="C402" s="4">
        <v>0.82201086956521741</v>
      </c>
    </row>
    <row r="403" spans="1:3">
      <c r="A403">
        <v>218.9052734375</v>
      </c>
      <c r="B403">
        <v>0</v>
      </c>
      <c r="C403" s="4">
        <v>0.82201086956521741</v>
      </c>
    </row>
    <row r="404" spans="1:3">
      <c r="A404">
        <v>219.451171875</v>
      </c>
      <c r="B404">
        <v>1</v>
      </c>
      <c r="C404" s="4">
        <v>0.82336956521739135</v>
      </c>
    </row>
    <row r="405" spans="1:3">
      <c r="A405">
        <v>219.9970703125</v>
      </c>
      <c r="B405">
        <v>0</v>
      </c>
      <c r="C405" s="4">
        <v>0.82336956521739135</v>
      </c>
    </row>
    <row r="406" spans="1:3">
      <c r="A406">
        <v>220.54296875</v>
      </c>
      <c r="B406">
        <v>0</v>
      </c>
      <c r="C406" s="4">
        <v>0.82336956521739135</v>
      </c>
    </row>
    <row r="407" spans="1:3">
      <c r="A407">
        <v>221.0888671875</v>
      </c>
      <c r="B407">
        <v>2</v>
      </c>
      <c r="C407" s="4">
        <v>0.82608695652173914</v>
      </c>
    </row>
    <row r="408" spans="1:3">
      <c r="A408">
        <v>221.634765625</v>
      </c>
      <c r="B408">
        <v>0</v>
      </c>
      <c r="C408" s="4">
        <v>0.82608695652173914</v>
      </c>
    </row>
    <row r="409" spans="1:3">
      <c r="A409">
        <v>222.1806640625</v>
      </c>
      <c r="B409">
        <v>5</v>
      </c>
      <c r="C409" s="4">
        <v>0.83288043478260865</v>
      </c>
    </row>
    <row r="410" spans="1:3">
      <c r="A410">
        <v>222.7265625</v>
      </c>
      <c r="B410">
        <v>0</v>
      </c>
      <c r="C410" s="4">
        <v>0.83288043478260865</v>
      </c>
    </row>
    <row r="411" spans="1:3">
      <c r="A411">
        <v>223.2724609375</v>
      </c>
      <c r="B411">
        <v>1</v>
      </c>
      <c r="C411" s="4">
        <v>0.83423913043478259</v>
      </c>
    </row>
    <row r="412" spans="1:3">
      <c r="A412">
        <v>223.818359375</v>
      </c>
      <c r="B412">
        <v>0</v>
      </c>
      <c r="C412" s="4">
        <v>0.83423913043478259</v>
      </c>
    </row>
    <row r="413" spans="1:3">
      <c r="A413">
        <v>224.3642578125</v>
      </c>
      <c r="B413">
        <v>0</v>
      </c>
      <c r="C413" s="4">
        <v>0.83423913043478259</v>
      </c>
    </row>
    <row r="414" spans="1:3">
      <c r="A414">
        <v>224.91015625</v>
      </c>
      <c r="B414">
        <v>0</v>
      </c>
      <c r="C414" s="4">
        <v>0.83423913043478259</v>
      </c>
    </row>
    <row r="415" spans="1:3">
      <c r="A415">
        <v>225.4560546875</v>
      </c>
      <c r="B415">
        <v>0</v>
      </c>
      <c r="C415" s="4">
        <v>0.83423913043478259</v>
      </c>
    </row>
    <row r="416" spans="1:3">
      <c r="A416">
        <v>226.001953125</v>
      </c>
      <c r="B416">
        <v>1</v>
      </c>
      <c r="C416" s="4">
        <v>0.83559782608695654</v>
      </c>
    </row>
    <row r="417" spans="1:3">
      <c r="A417">
        <v>226.5478515625</v>
      </c>
      <c r="B417">
        <v>0</v>
      </c>
      <c r="C417" s="4">
        <v>0.83559782608695654</v>
      </c>
    </row>
    <row r="418" spans="1:3">
      <c r="A418">
        <v>227.09375</v>
      </c>
      <c r="B418">
        <v>1</v>
      </c>
      <c r="C418" s="4">
        <v>0.83695652173913049</v>
      </c>
    </row>
    <row r="419" spans="1:3">
      <c r="A419">
        <v>227.6396484375</v>
      </c>
      <c r="B419">
        <v>0</v>
      </c>
      <c r="C419" s="4">
        <v>0.83695652173913049</v>
      </c>
    </row>
    <row r="420" spans="1:3">
      <c r="A420">
        <v>228.185546875</v>
      </c>
      <c r="B420">
        <v>1</v>
      </c>
      <c r="C420" s="4">
        <v>0.83831521739130432</v>
      </c>
    </row>
    <row r="421" spans="1:3">
      <c r="A421">
        <v>228.7314453125</v>
      </c>
      <c r="B421">
        <v>0</v>
      </c>
      <c r="C421" s="4">
        <v>0.83831521739130432</v>
      </c>
    </row>
    <row r="422" spans="1:3">
      <c r="A422">
        <v>229.27734375</v>
      </c>
      <c r="B422">
        <v>1</v>
      </c>
      <c r="C422" s="4">
        <v>0.83967391304347827</v>
      </c>
    </row>
    <row r="423" spans="1:3">
      <c r="A423">
        <v>229.8232421875</v>
      </c>
      <c r="B423">
        <v>0</v>
      </c>
      <c r="C423" s="4">
        <v>0.83967391304347827</v>
      </c>
    </row>
    <row r="424" spans="1:3">
      <c r="A424">
        <v>230.369140625</v>
      </c>
      <c r="B424">
        <v>1</v>
      </c>
      <c r="C424" s="4">
        <v>0.84103260869565222</v>
      </c>
    </row>
    <row r="425" spans="1:3">
      <c r="A425">
        <v>230.9150390625</v>
      </c>
      <c r="B425">
        <v>0</v>
      </c>
      <c r="C425" s="4">
        <v>0.84103260869565222</v>
      </c>
    </row>
    <row r="426" spans="1:3">
      <c r="A426">
        <v>231.4609375</v>
      </c>
      <c r="B426">
        <v>2</v>
      </c>
      <c r="C426" s="4">
        <v>0.84375</v>
      </c>
    </row>
    <row r="427" spans="1:3">
      <c r="A427">
        <v>232.0068359375</v>
      </c>
      <c r="B427">
        <v>1</v>
      </c>
      <c r="C427" s="4">
        <v>0.84510869565217395</v>
      </c>
    </row>
    <row r="428" spans="1:3">
      <c r="A428">
        <v>232.552734375</v>
      </c>
      <c r="B428">
        <v>0</v>
      </c>
      <c r="C428" s="4">
        <v>0.84510869565217395</v>
      </c>
    </row>
    <row r="429" spans="1:3">
      <c r="A429">
        <v>233.0986328125</v>
      </c>
      <c r="B429">
        <v>1</v>
      </c>
      <c r="C429" s="4">
        <v>0.84646739130434778</v>
      </c>
    </row>
    <row r="430" spans="1:3">
      <c r="A430">
        <v>233.64453125</v>
      </c>
      <c r="B430">
        <v>0</v>
      </c>
      <c r="C430" s="4">
        <v>0.84646739130434778</v>
      </c>
    </row>
    <row r="431" spans="1:3">
      <c r="A431">
        <v>234.1904296875</v>
      </c>
      <c r="B431">
        <v>0</v>
      </c>
      <c r="C431" s="4">
        <v>0.84646739130434778</v>
      </c>
    </row>
    <row r="432" spans="1:3">
      <c r="A432">
        <v>234.736328125</v>
      </c>
      <c r="B432">
        <v>0</v>
      </c>
      <c r="C432" s="4">
        <v>0.84646739130434778</v>
      </c>
    </row>
    <row r="433" spans="1:3">
      <c r="A433">
        <v>235.2822265625</v>
      </c>
      <c r="B433">
        <v>0</v>
      </c>
      <c r="C433" s="4">
        <v>0.84646739130434778</v>
      </c>
    </row>
    <row r="434" spans="1:3">
      <c r="A434">
        <v>235.828125</v>
      </c>
      <c r="B434">
        <v>0</v>
      </c>
      <c r="C434" s="4">
        <v>0.84646739130434778</v>
      </c>
    </row>
    <row r="435" spans="1:3">
      <c r="A435">
        <v>236.3740234375</v>
      </c>
      <c r="B435">
        <v>1</v>
      </c>
      <c r="C435" s="4">
        <v>0.84782608695652173</v>
      </c>
    </row>
    <row r="436" spans="1:3">
      <c r="A436">
        <v>236.919921875</v>
      </c>
      <c r="B436">
        <v>0</v>
      </c>
      <c r="C436" s="4">
        <v>0.84782608695652173</v>
      </c>
    </row>
    <row r="437" spans="1:3">
      <c r="A437">
        <v>237.4658203125</v>
      </c>
      <c r="B437">
        <v>1</v>
      </c>
      <c r="C437" s="4">
        <v>0.84918478260869568</v>
      </c>
    </row>
    <row r="438" spans="1:3">
      <c r="A438">
        <v>238.01171875</v>
      </c>
      <c r="B438">
        <v>0</v>
      </c>
      <c r="C438" s="4">
        <v>0.84918478260869568</v>
      </c>
    </row>
    <row r="439" spans="1:3">
      <c r="A439">
        <v>238.5576171875</v>
      </c>
      <c r="B439">
        <v>0</v>
      </c>
      <c r="C439" s="4">
        <v>0.84918478260869568</v>
      </c>
    </row>
    <row r="440" spans="1:3">
      <c r="A440">
        <v>239.103515625</v>
      </c>
      <c r="B440">
        <v>0</v>
      </c>
      <c r="C440" s="4">
        <v>0.84918478260869568</v>
      </c>
    </row>
    <row r="441" spans="1:3">
      <c r="A441">
        <v>239.6494140625</v>
      </c>
      <c r="B441">
        <v>0</v>
      </c>
      <c r="C441" s="4">
        <v>0.84918478260869568</v>
      </c>
    </row>
    <row r="442" spans="1:3">
      <c r="A442">
        <v>240.1953125</v>
      </c>
      <c r="B442">
        <v>0</v>
      </c>
      <c r="C442" s="4">
        <v>0.84918478260869568</v>
      </c>
    </row>
    <row r="443" spans="1:3">
      <c r="A443">
        <v>240.7412109375</v>
      </c>
      <c r="B443">
        <v>0</v>
      </c>
      <c r="C443" s="4">
        <v>0.84918478260869568</v>
      </c>
    </row>
    <row r="444" spans="1:3">
      <c r="A444">
        <v>241.287109375</v>
      </c>
      <c r="B444">
        <v>1</v>
      </c>
      <c r="C444" s="4">
        <v>0.85054347826086951</v>
      </c>
    </row>
    <row r="445" spans="1:3">
      <c r="A445">
        <v>241.8330078125</v>
      </c>
      <c r="B445">
        <v>0</v>
      </c>
      <c r="C445" s="4">
        <v>0.85054347826086951</v>
      </c>
    </row>
    <row r="446" spans="1:3">
      <c r="A446">
        <v>242.37890625</v>
      </c>
      <c r="B446">
        <v>0</v>
      </c>
      <c r="C446" s="4">
        <v>0.85054347826086951</v>
      </c>
    </row>
    <row r="447" spans="1:3">
      <c r="A447">
        <v>242.9248046875</v>
      </c>
      <c r="B447">
        <v>0</v>
      </c>
      <c r="C447" s="4">
        <v>0.85054347826086951</v>
      </c>
    </row>
    <row r="448" spans="1:3">
      <c r="A448">
        <v>243.470703125</v>
      </c>
      <c r="B448">
        <v>2</v>
      </c>
      <c r="C448" s="4">
        <v>0.85326086956521741</v>
      </c>
    </row>
    <row r="449" spans="1:3">
      <c r="A449">
        <v>244.0166015625</v>
      </c>
      <c r="B449">
        <v>1</v>
      </c>
      <c r="C449" s="4">
        <v>0.85461956521739135</v>
      </c>
    </row>
    <row r="450" spans="1:3">
      <c r="A450">
        <v>244.5625</v>
      </c>
      <c r="B450">
        <v>0</v>
      </c>
      <c r="C450" s="4">
        <v>0.85461956521739135</v>
      </c>
    </row>
    <row r="451" spans="1:3">
      <c r="A451">
        <v>245.1083984375</v>
      </c>
      <c r="B451">
        <v>1</v>
      </c>
      <c r="C451" s="4">
        <v>0.85597826086956519</v>
      </c>
    </row>
    <row r="452" spans="1:3">
      <c r="A452">
        <v>245.654296875</v>
      </c>
      <c r="B452">
        <v>0</v>
      </c>
      <c r="C452" s="4">
        <v>0.85597826086956519</v>
      </c>
    </row>
    <row r="453" spans="1:3">
      <c r="A453">
        <v>246.2001953125</v>
      </c>
      <c r="B453">
        <v>2</v>
      </c>
      <c r="C453" s="4">
        <v>0.85869565217391308</v>
      </c>
    </row>
    <row r="454" spans="1:3">
      <c r="A454">
        <v>246.74609375</v>
      </c>
      <c r="B454">
        <v>0</v>
      </c>
      <c r="C454" s="4">
        <v>0.85869565217391308</v>
      </c>
    </row>
    <row r="455" spans="1:3">
      <c r="A455">
        <v>247.2919921875</v>
      </c>
      <c r="B455">
        <v>2</v>
      </c>
      <c r="C455" s="4">
        <v>0.86141304347826086</v>
      </c>
    </row>
    <row r="456" spans="1:3">
      <c r="A456">
        <v>247.837890625</v>
      </c>
      <c r="B456">
        <v>0</v>
      </c>
      <c r="C456" s="4">
        <v>0.86141304347826086</v>
      </c>
    </row>
    <row r="457" spans="1:3">
      <c r="A457">
        <v>248.3837890625</v>
      </c>
      <c r="B457">
        <v>2</v>
      </c>
      <c r="C457" s="4">
        <v>0.86413043478260865</v>
      </c>
    </row>
    <row r="458" spans="1:3">
      <c r="A458">
        <v>248.9296875</v>
      </c>
      <c r="B458">
        <v>0</v>
      </c>
      <c r="C458" s="4">
        <v>0.86413043478260865</v>
      </c>
    </row>
    <row r="459" spans="1:3">
      <c r="A459">
        <v>249.4755859375</v>
      </c>
      <c r="B459">
        <v>1</v>
      </c>
      <c r="C459" s="4">
        <v>0.86548913043478259</v>
      </c>
    </row>
    <row r="460" spans="1:3">
      <c r="A460">
        <v>250.021484375</v>
      </c>
      <c r="B460">
        <v>0</v>
      </c>
      <c r="C460" s="4">
        <v>0.86548913043478259</v>
      </c>
    </row>
    <row r="461" spans="1:3">
      <c r="A461">
        <v>250.5673828125</v>
      </c>
      <c r="B461">
        <v>0</v>
      </c>
      <c r="C461" s="4">
        <v>0.86548913043478259</v>
      </c>
    </row>
    <row r="462" spans="1:3">
      <c r="A462">
        <v>251.11328125</v>
      </c>
      <c r="B462">
        <v>0</v>
      </c>
      <c r="C462" s="4">
        <v>0.86548913043478259</v>
      </c>
    </row>
    <row r="463" spans="1:3">
      <c r="A463">
        <v>251.6591796875</v>
      </c>
      <c r="B463">
        <v>0</v>
      </c>
      <c r="C463" s="4">
        <v>0.86548913043478259</v>
      </c>
    </row>
    <row r="464" spans="1:3">
      <c r="A464">
        <v>252.205078125</v>
      </c>
      <c r="B464">
        <v>0</v>
      </c>
      <c r="C464" s="4">
        <v>0.86548913043478259</v>
      </c>
    </row>
    <row r="465" spans="1:3">
      <c r="A465">
        <v>252.7509765625</v>
      </c>
      <c r="B465">
        <v>0</v>
      </c>
      <c r="C465" s="4">
        <v>0.86548913043478259</v>
      </c>
    </row>
    <row r="466" spans="1:3">
      <c r="A466">
        <v>253.296875</v>
      </c>
      <c r="B466">
        <v>1</v>
      </c>
      <c r="C466" s="4">
        <v>0.86684782608695654</v>
      </c>
    </row>
    <row r="467" spans="1:3">
      <c r="A467">
        <v>253.8427734375</v>
      </c>
      <c r="B467">
        <v>0</v>
      </c>
      <c r="C467" s="4">
        <v>0.86684782608695654</v>
      </c>
    </row>
    <row r="468" spans="1:3">
      <c r="A468">
        <v>254.388671875</v>
      </c>
      <c r="B468">
        <v>0</v>
      </c>
      <c r="C468" s="4">
        <v>0.86684782608695654</v>
      </c>
    </row>
    <row r="469" spans="1:3">
      <c r="A469">
        <v>254.9345703125</v>
      </c>
      <c r="B469">
        <v>0</v>
      </c>
      <c r="C469" s="4">
        <v>0.86684782608695654</v>
      </c>
    </row>
    <row r="470" spans="1:3">
      <c r="A470">
        <v>255.48046875</v>
      </c>
      <c r="B470">
        <v>0</v>
      </c>
      <c r="C470" s="4">
        <v>0.86684782608695654</v>
      </c>
    </row>
    <row r="471" spans="1:3">
      <c r="A471">
        <v>256.0263671875</v>
      </c>
      <c r="B471">
        <v>2</v>
      </c>
      <c r="C471" s="4">
        <v>0.86956521739130432</v>
      </c>
    </row>
    <row r="472" spans="1:3">
      <c r="A472">
        <v>256.572265625</v>
      </c>
      <c r="B472">
        <v>0</v>
      </c>
      <c r="C472" s="4">
        <v>0.86956521739130432</v>
      </c>
    </row>
    <row r="473" spans="1:3">
      <c r="A473">
        <v>257.1181640625</v>
      </c>
      <c r="B473">
        <v>0</v>
      </c>
      <c r="C473" s="4">
        <v>0.86956521739130432</v>
      </c>
    </row>
    <row r="474" spans="1:3">
      <c r="A474">
        <v>257.6640625</v>
      </c>
      <c r="B474">
        <v>0</v>
      </c>
      <c r="C474" s="4">
        <v>0.86956521739130432</v>
      </c>
    </row>
    <row r="475" spans="1:3">
      <c r="A475">
        <v>258.2099609375</v>
      </c>
      <c r="B475">
        <v>0</v>
      </c>
      <c r="C475" s="4">
        <v>0.86956521739130432</v>
      </c>
    </row>
    <row r="476" spans="1:3">
      <c r="A476">
        <v>258.755859375</v>
      </c>
      <c r="B476">
        <v>0</v>
      </c>
      <c r="C476" s="4">
        <v>0.86956521739130432</v>
      </c>
    </row>
    <row r="477" spans="1:3">
      <c r="A477">
        <v>259.3017578125</v>
      </c>
      <c r="B477">
        <v>1</v>
      </c>
      <c r="C477" s="4">
        <v>0.87092391304347827</v>
      </c>
    </row>
    <row r="478" spans="1:3">
      <c r="A478">
        <v>259.84765625</v>
      </c>
      <c r="B478">
        <v>0</v>
      </c>
      <c r="C478" s="4">
        <v>0.87092391304347827</v>
      </c>
    </row>
    <row r="479" spans="1:3">
      <c r="A479">
        <v>260.3935546875</v>
      </c>
      <c r="B479">
        <v>1</v>
      </c>
      <c r="C479" s="4">
        <v>0.87228260869565222</v>
      </c>
    </row>
    <row r="480" spans="1:3">
      <c r="A480">
        <v>260.939453125</v>
      </c>
      <c r="B480">
        <v>0</v>
      </c>
      <c r="C480" s="4">
        <v>0.87228260869565222</v>
      </c>
    </row>
    <row r="481" spans="1:3">
      <c r="A481">
        <v>261.4853515625</v>
      </c>
      <c r="B481">
        <v>1</v>
      </c>
      <c r="C481" s="4">
        <v>0.87364130434782605</v>
      </c>
    </row>
    <row r="482" spans="1:3">
      <c r="A482">
        <v>262.03125</v>
      </c>
      <c r="B482">
        <v>1</v>
      </c>
      <c r="C482" s="4">
        <v>0.875</v>
      </c>
    </row>
    <row r="483" spans="1:3">
      <c r="A483">
        <v>262.5771484375</v>
      </c>
      <c r="B483">
        <v>0</v>
      </c>
      <c r="C483" s="4">
        <v>0.875</v>
      </c>
    </row>
    <row r="484" spans="1:3">
      <c r="A484">
        <v>263.123046875</v>
      </c>
      <c r="B484">
        <v>0</v>
      </c>
      <c r="C484" s="4">
        <v>0.875</v>
      </c>
    </row>
    <row r="485" spans="1:3">
      <c r="A485">
        <v>263.6689453125</v>
      </c>
      <c r="B485">
        <v>0</v>
      </c>
      <c r="C485" s="4">
        <v>0.875</v>
      </c>
    </row>
    <row r="486" spans="1:3">
      <c r="A486">
        <v>264.21484375</v>
      </c>
      <c r="B486">
        <v>2</v>
      </c>
      <c r="C486" s="4">
        <v>0.87771739130434778</v>
      </c>
    </row>
    <row r="487" spans="1:3">
      <c r="A487">
        <v>264.7607421875</v>
      </c>
      <c r="B487">
        <v>0</v>
      </c>
      <c r="C487" s="4">
        <v>0.87771739130434778</v>
      </c>
    </row>
    <row r="488" spans="1:3">
      <c r="A488">
        <v>265.306640625</v>
      </c>
      <c r="B488">
        <v>0</v>
      </c>
      <c r="C488" s="4">
        <v>0.87771739130434778</v>
      </c>
    </row>
    <row r="489" spans="1:3">
      <c r="A489">
        <v>265.8525390625</v>
      </c>
      <c r="B489">
        <v>0</v>
      </c>
      <c r="C489" s="4">
        <v>0.87771739130434778</v>
      </c>
    </row>
    <row r="490" spans="1:3">
      <c r="A490">
        <v>266.3984375</v>
      </c>
      <c r="B490">
        <v>0</v>
      </c>
      <c r="C490" s="4">
        <v>0.87771739130434778</v>
      </c>
    </row>
    <row r="491" spans="1:3">
      <c r="A491">
        <v>266.9443359375</v>
      </c>
      <c r="B491">
        <v>0</v>
      </c>
      <c r="C491" s="4">
        <v>0.87771739130434778</v>
      </c>
    </row>
    <row r="492" spans="1:3">
      <c r="A492">
        <v>267.490234375</v>
      </c>
      <c r="B492">
        <v>0</v>
      </c>
      <c r="C492" s="4">
        <v>0.87771739130434778</v>
      </c>
    </row>
    <row r="493" spans="1:3">
      <c r="A493">
        <v>268.0361328125</v>
      </c>
      <c r="B493">
        <v>3</v>
      </c>
      <c r="C493" s="4">
        <v>0.88179347826086951</v>
      </c>
    </row>
    <row r="494" spans="1:3">
      <c r="A494">
        <v>268.58203125</v>
      </c>
      <c r="B494">
        <v>0</v>
      </c>
      <c r="C494" s="4">
        <v>0.88179347826086951</v>
      </c>
    </row>
    <row r="495" spans="1:3">
      <c r="A495">
        <v>269.1279296875</v>
      </c>
      <c r="B495">
        <v>0</v>
      </c>
      <c r="C495" s="4">
        <v>0.88179347826086951</v>
      </c>
    </row>
    <row r="496" spans="1:3">
      <c r="A496">
        <v>269.673828125</v>
      </c>
      <c r="B496">
        <v>0</v>
      </c>
      <c r="C496" s="4">
        <v>0.88179347826086951</v>
      </c>
    </row>
    <row r="497" spans="1:3">
      <c r="A497">
        <v>270.2197265625</v>
      </c>
      <c r="B497">
        <v>2</v>
      </c>
      <c r="C497" s="4">
        <v>0.88451086956521741</v>
      </c>
    </row>
    <row r="498" spans="1:3">
      <c r="A498">
        <v>270.765625</v>
      </c>
      <c r="B498">
        <v>0</v>
      </c>
      <c r="C498" s="4">
        <v>0.88451086956521741</v>
      </c>
    </row>
    <row r="499" spans="1:3">
      <c r="A499">
        <v>271.3115234375</v>
      </c>
      <c r="B499">
        <v>3</v>
      </c>
      <c r="C499" s="4">
        <v>0.88858695652173914</v>
      </c>
    </row>
    <row r="500" spans="1:3">
      <c r="A500">
        <v>271.857421875</v>
      </c>
      <c r="B500">
        <v>0</v>
      </c>
      <c r="C500" s="4">
        <v>0.88858695652173914</v>
      </c>
    </row>
    <row r="501" spans="1:3">
      <c r="A501">
        <v>272.4033203125</v>
      </c>
      <c r="B501">
        <v>1</v>
      </c>
      <c r="C501" s="4">
        <v>0.88994565217391308</v>
      </c>
    </row>
    <row r="502" spans="1:3">
      <c r="A502">
        <v>272.94921875</v>
      </c>
      <c r="B502">
        <v>0</v>
      </c>
      <c r="C502" s="4">
        <v>0.88994565217391308</v>
      </c>
    </row>
    <row r="503" spans="1:3">
      <c r="A503">
        <v>273.4951171875</v>
      </c>
      <c r="B503">
        <v>0</v>
      </c>
      <c r="C503" s="4">
        <v>0.88994565217391308</v>
      </c>
    </row>
    <row r="504" spans="1:3">
      <c r="A504">
        <v>274.041015625</v>
      </c>
      <c r="B504">
        <v>0</v>
      </c>
      <c r="C504" s="4">
        <v>0.88994565217391308</v>
      </c>
    </row>
    <row r="505" spans="1:3">
      <c r="A505">
        <v>274.5869140625</v>
      </c>
      <c r="B505">
        <v>0</v>
      </c>
      <c r="C505" s="4">
        <v>0.88994565217391308</v>
      </c>
    </row>
    <row r="506" spans="1:3">
      <c r="A506">
        <v>275.1328125</v>
      </c>
      <c r="B506">
        <v>0</v>
      </c>
      <c r="C506" s="4">
        <v>0.88994565217391308</v>
      </c>
    </row>
    <row r="507" spans="1:3">
      <c r="A507">
        <v>275.6787109375</v>
      </c>
      <c r="B507">
        <v>0</v>
      </c>
      <c r="C507" s="4">
        <v>0.88994565217391308</v>
      </c>
    </row>
    <row r="508" spans="1:3">
      <c r="A508">
        <v>276.224609375</v>
      </c>
      <c r="B508">
        <v>1</v>
      </c>
      <c r="C508" s="4">
        <v>0.89130434782608692</v>
      </c>
    </row>
    <row r="509" spans="1:3">
      <c r="A509">
        <v>276.7705078125</v>
      </c>
      <c r="B509">
        <v>0</v>
      </c>
      <c r="C509" s="4">
        <v>0.89130434782608692</v>
      </c>
    </row>
    <row r="510" spans="1:3">
      <c r="A510">
        <v>277.31640625</v>
      </c>
      <c r="B510">
        <v>0</v>
      </c>
      <c r="C510" s="4">
        <v>0.89130434782608692</v>
      </c>
    </row>
    <row r="511" spans="1:3">
      <c r="A511">
        <v>277.8623046875</v>
      </c>
      <c r="B511">
        <v>0</v>
      </c>
      <c r="C511" s="4">
        <v>0.89130434782608692</v>
      </c>
    </row>
    <row r="512" spans="1:3">
      <c r="A512">
        <v>278.408203125</v>
      </c>
      <c r="B512">
        <v>1</v>
      </c>
      <c r="C512" s="4">
        <v>0.89266304347826086</v>
      </c>
    </row>
    <row r="513" spans="1:3">
      <c r="A513">
        <v>278.9541015625</v>
      </c>
      <c r="B513">
        <v>0</v>
      </c>
      <c r="C513" s="4">
        <v>0.89266304347826086</v>
      </c>
    </row>
    <row r="514" spans="1:3">
      <c r="A514">
        <v>279.5</v>
      </c>
      <c r="B514">
        <v>1</v>
      </c>
      <c r="C514" s="4">
        <v>0.89402173913043481</v>
      </c>
    </row>
    <row r="515" spans="1:3">
      <c r="A515">
        <v>280.0458984375</v>
      </c>
      <c r="B515">
        <v>0</v>
      </c>
      <c r="C515" s="4">
        <v>0.89402173913043481</v>
      </c>
    </row>
    <row r="516" spans="1:3">
      <c r="A516">
        <v>280.591796875</v>
      </c>
      <c r="B516">
        <v>0</v>
      </c>
      <c r="C516" s="4">
        <v>0.89402173913043481</v>
      </c>
    </row>
    <row r="517" spans="1:3">
      <c r="A517">
        <v>281.1376953125</v>
      </c>
      <c r="B517">
        <v>2</v>
      </c>
      <c r="C517" s="4">
        <v>0.89673913043478259</v>
      </c>
    </row>
    <row r="518" spans="1:3">
      <c r="A518">
        <v>281.68359375</v>
      </c>
      <c r="B518">
        <v>0</v>
      </c>
      <c r="C518" s="4">
        <v>0.89673913043478259</v>
      </c>
    </row>
    <row r="519" spans="1:3">
      <c r="A519">
        <v>282.2294921875</v>
      </c>
      <c r="B519">
        <v>1</v>
      </c>
      <c r="C519" s="4">
        <v>0.89809782608695654</v>
      </c>
    </row>
    <row r="520" spans="1:3">
      <c r="A520">
        <v>282.775390625</v>
      </c>
      <c r="B520">
        <v>0</v>
      </c>
      <c r="C520" s="4">
        <v>0.89809782608695654</v>
      </c>
    </row>
    <row r="521" spans="1:3">
      <c r="A521">
        <v>283.3212890625</v>
      </c>
      <c r="B521">
        <v>1</v>
      </c>
      <c r="C521" s="4">
        <v>0.89945652173913049</v>
      </c>
    </row>
    <row r="522" spans="1:3">
      <c r="A522">
        <v>283.8671875</v>
      </c>
      <c r="B522">
        <v>0</v>
      </c>
      <c r="C522" s="4">
        <v>0.89945652173913049</v>
      </c>
    </row>
    <row r="523" spans="1:3">
      <c r="A523">
        <v>284.4130859375</v>
      </c>
      <c r="B523">
        <v>1</v>
      </c>
      <c r="C523" s="4">
        <v>0.90081521739130432</v>
      </c>
    </row>
    <row r="524" spans="1:3">
      <c r="A524">
        <v>284.958984375</v>
      </c>
      <c r="B524">
        <v>0</v>
      </c>
      <c r="C524" s="4">
        <v>0.90081521739130432</v>
      </c>
    </row>
    <row r="525" spans="1:3">
      <c r="A525">
        <v>285.5048828125</v>
      </c>
      <c r="B525">
        <v>1</v>
      </c>
      <c r="C525" s="4">
        <v>0.90217391304347827</v>
      </c>
    </row>
    <row r="526" spans="1:3">
      <c r="A526">
        <v>286.05078125</v>
      </c>
      <c r="B526">
        <v>0</v>
      </c>
      <c r="C526" s="4">
        <v>0.90217391304347827</v>
      </c>
    </row>
    <row r="527" spans="1:3">
      <c r="A527">
        <v>286.5966796875</v>
      </c>
      <c r="B527">
        <v>0</v>
      </c>
      <c r="C527" s="4">
        <v>0.90217391304347827</v>
      </c>
    </row>
    <row r="528" spans="1:3">
      <c r="A528">
        <v>287.142578125</v>
      </c>
      <c r="B528">
        <v>1</v>
      </c>
      <c r="C528" s="4">
        <v>0.90353260869565222</v>
      </c>
    </row>
    <row r="529" spans="1:3">
      <c r="A529">
        <v>287.6884765625</v>
      </c>
      <c r="B529">
        <v>0</v>
      </c>
      <c r="C529" s="4">
        <v>0.90353260869565222</v>
      </c>
    </row>
    <row r="530" spans="1:3">
      <c r="A530">
        <v>288.234375</v>
      </c>
      <c r="B530">
        <v>2</v>
      </c>
      <c r="C530" s="4">
        <v>0.90625</v>
      </c>
    </row>
    <row r="531" spans="1:3">
      <c r="A531">
        <v>288.7802734375</v>
      </c>
      <c r="B531">
        <v>0</v>
      </c>
      <c r="C531" s="4">
        <v>0.90625</v>
      </c>
    </row>
    <row r="532" spans="1:3">
      <c r="A532">
        <v>289.326171875</v>
      </c>
      <c r="B532">
        <v>1</v>
      </c>
      <c r="C532" s="4">
        <v>0.90760869565217395</v>
      </c>
    </row>
    <row r="533" spans="1:3">
      <c r="A533">
        <v>289.8720703125</v>
      </c>
      <c r="B533">
        <v>0</v>
      </c>
      <c r="C533" s="4">
        <v>0.90760869565217395</v>
      </c>
    </row>
    <row r="534" spans="1:3">
      <c r="A534">
        <v>290.41796875</v>
      </c>
      <c r="B534">
        <v>2</v>
      </c>
      <c r="C534" s="4">
        <v>0.91032608695652173</v>
      </c>
    </row>
    <row r="535" spans="1:3">
      <c r="A535">
        <v>290.9638671875</v>
      </c>
      <c r="B535">
        <v>0</v>
      </c>
      <c r="C535" s="4">
        <v>0.91032608695652173</v>
      </c>
    </row>
    <row r="536" spans="1:3">
      <c r="A536">
        <v>291.509765625</v>
      </c>
      <c r="B536">
        <v>0</v>
      </c>
      <c r="C536" s="4">
        <v>0.91032608695652173</v>
      </c>
    </row>
    <row r="537" spans="1:3">
      <c r="A537">
        <v>292.0556640625</v>
      </c>
      <c r="B537">
        <v>0</v>
      </c>
      <c r="C537" s="4">
        <v>0.91032608695652173</v>
      </c>
    </row>
    <row r="538" spans="1:3">
      <c r="A538">
        <v>292.6015625</v>
      </c>
      <c r="B538">
        <v>0</v>
      </c>
      <c r="C538" s="4">
        <v>0.91032608695652173</v>
      </c>
    </row>
    <row r="539" spans="1:3">
      <c r="A539">
        <v>293.1474609375</v>
      </c>
      <c r="B539">
        <v>0</v>
      </c>
      <c r="C539" s="4">
        <v>0.91032608695652173</v>
      </c>
    </row>
    <row r="540" spans="1:3">
      <c r="A540">
        <v>293.693359375</v>
      </c>
      <c r="B540">
        <v>0</v>
      </c>
      <c r="C540" s="4">
        <v>0.91032608695652173</v>
      </c>
    </row>
    <row r="541" spans="1:3">
      <c r="A541">
        <v>294.2392578125</v>
      </c>
      <c r="B541">
        <v>0</v>
      </c>
      <c r="C541" s="4">
        <v>0.91032608695652173</v>
      </c>
    </row>
    <row r="542" spans="1:3">
      <c r="A542">
        <v>294.78515625</v>
      </c>
      <c r="B542">
        <v>0</v>
      </c>
      <c r="C542" s="4">
        <v>0.91032608695652173</v>
      </c>
    </row>
    <row r="543" spans="1:3">
      <c r="A543">
        <v>295.3310546875</v>
      </c>
      <c r="B543">
        <v>1</v>
      </c>
      <c r="C543" s="4">
        <v>0.91168478260869568</v>
      </c>
    </row>
    <row r="544" spans="1:3">
      <c r="A544">
        <v>295.876953125</v>
      </c>
      <c r="B544">
        <v>0</v>
      </c>
      <c r="C544" s="4">
        <v>0.91168478260869568</v>
      </c>
    </row>
    <row r="545" spans="1:3">
      <c r="A545">
        <v>296.4228515625</v>
      </c>
      <c r="B545">
        <v>1</v>
      </c>
      <c r="C545" s="4">
        <v>0.91304347826086951</v>
      </c>
    </row>
    <row r="546" spans="1:3">
      <c r="A546">
        <v>296.96875</v>
      </c>
      <c r="B546">
        <v>0</v>
      </c>
      <c r="C546" s="4">
        <v>0.91304347826086951</v>
      </c>
    </row>
    <row r="547" spans="1:3">
      <c r="A547">
        <v>297.5146484375</v>
      </c>
      <c r="B547">
        <v>0</v>
      </c>
      <c r="C547" s="4">
        <v>0.91304347826086951</v>
      </c>
    </row>
    <row r="548" spans="1:3">
      <c r="A548">
        <v>298.060546875</v>
      </c>
      <c r="B548">
        <v>0</v>
      </c>
      <c r="C548" s="4">
        <v>0.91304347826086951</v>
      </c>
    </row>
    <row r="549" spans="1:3">
      <c r="A549">
        <v>298.6064453125</v>
      </c>
      <c r="B549">
        <v>0</v>
      </c>
      <c r="C549" s="4">
        <v>0.91304347826086951</v>
      </c>
    </row>
    <row r="550" spans="1:3">
      <c r="A550">
        <v>299.15234375</v>
      </c>
      <c r="B550">
        <v>2</v>
      </c>
      <c r="C550" s="4">
        <v>0.91576086956521741</v>
      </c>
    </row>
    <row r="551" spans="1:3">
      <c r="A551">
        <v>299.6982421875</v>
      </c>
      <c r="B551">
        <v>0</v>
      </c>
      <c r="C551" s="4">
        <v>0.91576086956521741</v>
      </c>
    </row>
    <row r="552" spans="1:3">
      <c r="A552">
        <v>300.244140625</v>
      </c>
      <c r="B552">
        <v>1</v>
      </c>
      <c r="C552" s="4">
        <v>0.91711956521739135</v>
      </c>
    </row>
    <row r="553" spans="1:3">
      <c r="A553">
        <v>300.7900390625</v>
      </c>
      <c r="B553">
        <v>0</v>
      </c>
      <c r="C553" s="4">
        <v>0.91711956521739135</v>
      </c>
    </row>
    <row r="554" spans="1:3">
      <c r="A554">
        <v>301.3359375</v>
      </c>
      <c r="B554">
        <v>1</v>
      </c>
      <c r="C554" s="4">
        <v>0.91847826086956519</v>
      </c>
    </row>
    <row r="555" spans="1:3">
      <c r="A555">
        <v>301.8818359375</v>
      </c>
      <c r="B555">
        <v>0</v>
      </c>
      <c r="C555" s="4">
        <v>0.91847826086956519</v>
      </c>
    </row>
    <row r="556" spans="1:3">
      <c r="A556">
        <v>302.427734375</v>
      </c>
      <c r="B556">
        <v>1</v>
      </c>
      <c r="C556" s="4">
        <v>0.91983695652173914</v>
      </c>
    </row>
    <row r="557" spans="1:3">
      <c r="A557">
        <v>302.9736328125</v>
      </c>
      <c r="B557">
        <v>0</v>
      </c>
      <c r="C557" s="4">
        <v>0.91983695652173914</v>
      </c>
    </row>
    <row r="558" spans="1:3">
      <c r="A558">
        <v>303.51953125</v>
      </c>
      <c r="B558">
        <v>2</v>
      </c>
      <c r="C558" s="4">
        <v>0.92255434782608692</v>
      </c>
    </row>
    <row r="559" spans="1:3">
      <c r="A559">
        <v>304.0654296875</v>
      </c>
      <c r="B559">
        <v>0</v>
      </c>
      <c r="C559" s="4">
        <v>0.92255434782608692</v>
      </c>
    </row>
    <row r="560" spans="1:3">
      <c r="A560">
        <v>304.611328125</v>
      </c>
      <c r="B560">
        <v>0</v>
      </c>
      <c r="C560" s="4">
        <v>0.92255434782608692</v>
      </c>
    </row>
    <row r="561" spans="1:3">
      <c r="A561">
        <v>305.1572265625</v>
      </c>
      <c r="B561">
        <v>2</v>
      </c>
      <c r="C561" s="4">
        <v>0.92527173913043481</v>
      </c>
    </row>
    <row r="562" spans="1:3">
      <c r="A562">
        <v>305.703125</v>
      </c>
      <c r="B562">
        <v>0</v>
      </c>
      <c r="C562" s="4">
        <v>0.92527173913043481</v>
      </c>
    </row>
    <row r="563" spans="1:3">
      <c r="A563">
        <v>306.2490234375</v>
      </c>
      <c r="B563">
        <v>0</v>
      </c>
      <c r="C563" s="4">
        <v>0.92527173913043481</v>
      </c>
    </row>
    <row r="564" spans="1:3">
      <c r="A564">
        <v>306.794921875</v>
      </c>
      <c r="B564">
        <v>0</v>
      </c>
      <c r="C564" s="4">
        <v>0.92527173913043481</v>
      </c>
    </row>
    <row r="565" spans="1:3">
      <c r="A565">
        <v>307.3408203125</v>
      </c>
      <c r="B565">
        <v>0</v>
      </c>
      <c r="C565" s="4">
        <v>0.92527173913043481</v>
      </c>
    </row>
    <row r="566" spans="1:3">
      <c r="A566">
        <v>307.88671875</v>
      </c>
      <c r="B566">
        <v>0</v>
      </c>
      <c r="C566" s="4">
        <v>0.92527173913043481</v>
      </c>
    </row>
    <row r="567" spans="1:3">
      <c r="A567">
        <v>308.4326171875</v>
      </c>
      <c r="B567">
        <v>1</v>
      </c>
      <c r="C567" s="4">
        <v>0.92663043478260865</v>
      </c>
    </row>
    <row r="568" spans="1:3">
      <c r="A568">
        <v>308.978515625</v>
      </c>
      <c r="B568">
        <v>0</v>
      </c>
      <c r="C568" s="4">
        <v>0.92663043478260865</v>
      </c>
    </row>
    <row r="569" spans="1:3">
      <c r="A569">
        <v>309.5244140625</v>
      </c>
      <c r="B569">
        <v>0</v>
      </c>
      <c r="C569" s="4">
        <v>0.92663043478260865</v>
      </c>
    </row>
    <row r="570" spans="1:3">
      <c r="A570">
        <v>310.0703125</v>
      </c>
      <c r="B570">
        <v>1</v>
      </c>
      <c r="C570" s="4">
        <v>0.92798913043478259</v>
      </c>
    </row>
    <row r="571" spans="1:3">
      <c r="A571">
        <v>310.6162109375</v>
      </c>
      <c r="B571">
        <v>0</v>
      </c>
      <c r="C571" s="4">
        <v>0.92798913043478259</v>
      </c>
    </row>
    <row r="572" spans="1:3">
      <c r="A572">
        <v>311.162109375</v>
      </c>
      <c r="B572">
        <v>0</v>
      </c>
      <c r="C572" s="4">
        <v>0.92798913043478259</v>
      </c>
    </row>
    <row r="573" spans="1:3">
      <c r="A573">
        <v>311.7080078125</v>
      </c>
      <c r="B573">
        <v>0</v>
      </c>
      <c r="C573" s="4">
        <v>0.92798913043478259</v>
      </c>
    </row>
    <row r="574" spans="1:3">
      <c r="A574">
        <v>312.25390625</v>
      </c>
      <c r="B574">
        <v>0</v>
      </c>
      <c r="C574" s="4">
        <v>0.92798913043478259</v>
      </c>
    </row>
    <row r="575" spans="1:3">
      <c r="A575">
        <v>312.7998046875</v>
      </c>
      <c r="B575">
        <v>0</v>
      </c>
      <c r="C575" s="4">
        <v>0.92798913043478259</v>
      </c>
    </row>
    <row r="576" spans="1:3">
      <c r="A576">
        <v>313.345703125</v>
      </c>
      <c r="B576">
        <v>0</v>
      </c>
      <c r="C576" s="4">
        <v>0.92798913043478259</v>
      </c>
    </row>
    <row r="577" spans="1:3">
      <c r="A577">
        <v>313.8916015625</v>
      </c>
      <c r="B577">
        <v>0</v>
      </c>
      <c r="C577" s="4">
        <v>0.92798913043478259</v>
      </c>
    </row>
    <row r="578" spans="1:3">
      <c r="A578">
        <v>314.4375</v>
      </c>
      <c r="B578">
        <v>0</v>
      </c>
      <c r="C578" s="4">
        <v>0.92798913043478259</v>
      </c>
    </row>
    <row r="579" spans="1:3">
      <c r="A579">
        <v>314.9833984375</v>
      </c>
      <c r="B579">
        <v>0</v>
      </c>
      <c r="C579" s="4">
        <v>0.92798913043478259</v>
      </c>
    </row>
    <row r="580" spans="1:3">
      <c r="A580">
        <v>315.529296875</v>
      </c>
      <c r="B580">
        <v>0</v>
      </c>
      <c r="C580" s="4">
        <v>0.92798913043478259</v>
      </c>
    </row>
    <row r="581" spans="1:3">
      <c r="A581">
        <v>316.0751953125</v>
      </c>
      <c r="B581">
        <v>0</v>
      </c>
      <c r="C581" s="4">
        <v>0.92798913043478259</v>
      </c>
    </row>
    <row r="582" spans="1:3">
      <c r="A582">
        <v>316.62109375</v>
      </c>
      <c r="B582">
        <v>0</v>
      </c>
      <c r="C582" s="4">
        <v>0.92798913043478259</v>
      </c>
    </row>
    <row r="583" spans="1:3">
      <c r="A583">
        <v>317.1669921875</v>
      </c>
      <c r="B583">
        <v>0</v>
      </c>
      <c r="C583" s="4">
        <v>0.92798913043478259</v>
      </c>
    </row>
    <row r="584" spans="1:3">
      <c r="A584">
        <v>317.712890625</v>
      </c>
      <c r="B584">
        <v>0</v>
      </c>
      <c r="C584" s="4">
        <v>0.92798913043478259</v>
      </c>
    </row>
    <row r="585" spans="1:3">
      <c r="A585">
        <v>318.2587890625</v>
      </c>
      <c r="B585">
        <v>1</v>
      </c>
      <c r="C585" s="4">
        <v>0.92934782608695654</v>
      </c>
    </row>
    <row r="586" spans="1:3">
      <c r="A586">
        <v>318.8046875</v>
      </c>
      <c r="B586">
        <v>0</v>
      </c>
      <c r="C586" s="4">
        <v>0.92934782608695654</v>
      </c>
    </row>
    <row r="587" spans="1:3">
      <c r="A587">
        <v>319.3505859375</v>
      </c>
      <c r="B587">
        <v>1</v>
      </c>
      <c r="C587" s="4">
        <v>0.93070652173913049</v>
      </c>
    </row>
    <row r="588" spans="1:3">
      <c r="A588">
        <v>319.896484375</v>
      </c>
      <c r="B588">
        <v>0</v>
      </c>
      <c r="C588" s="4">
        <v>0.93070652173913049</v>
      </c>
    </row>
    <row r="589" spans="1:3">
      <c r="A589">
        <v>320.4423828125</v>
      </c>
      <c r="B589">
        <v>0</v>
      </c>
      <c r="C589" s="4">
        <v>0.93070652173913049</v>
      </c>
    </row>
    <row r="590" spans="1:3">
      <c r="A590">
        <v>320.98828125</v>
      </c>
      <c r="B590">
        <v>0</v>
      </c>
      <c r="C590" s="4">
        <v>0.93070652173913049</v>
      </c>
    </row>
    <row r="591" spans="1:3">
      <c r="A591">
        <v>321.5341796875</v>
      </c>
      <c r="B591">
        <v>0</v>
      </c>
      <c r="C591" s="4">
        <v>0.93070652173913049</v>
      </c>
    </row>
    <row r="592" spans="1:3">
      <c r="A592">
        <v>322.080078125</v>
      </c>
      <c r="B592">
        <v>0</v>
      </c>
      <c r="C592" s="4">
        <v>0.93070652173913049</v>
      </c>
    </row>
    <row r="593" spans="1:3">
      <c r="A593">
        <v>322.6259765625</v>
      </c>
      <c r="B593">
        <v>0</v>
      </c>
      <c r="C593" s="4">
        <v>0.93070652173913049</v>
      </c>
    </row>
    <row r="594" spans="1:3">
      <c r="A594">
        <v>323.171875</v>
      </c>
      <c r="B594">
        <v>1</v>
      </c>
      <c r="C594" s="4">
        <v>0.93206521739130432</v>
      </c>
    </row>
    <row r="595" spans="1:3">
      <c r="A595">
        <v>323.7177734375</v>
      </c>
      <c r="B595">
        <v>0</v>
      </c>
      <c r="C595" s="4">
        <v>0.93206521739130432</v>
      </c>
    </row>
    <row r="596" spans="1:3">
      <c r="A596">
        <v>324.263671875</v>
      </c>
      <c r="B596">
        <v>1</v>
      </c>
      <c r="C596" s="4">
        <v>0.93342391304347827</v>
      </c>
    </row>
    <row r="597" spans="1:3">
      <c r="A597">
        <v>324.8095703125</v>
      </c>
      <c r="B597">
        <v>0</v>
      </c>
      <c r="C597" s="4">
        <v>0.93342391304347827</v>
      </c>
    </row>
    <row r="598" spans="1:3">
      <c r="A598">
        <v>325.35546875</v>
      </c>
      <c r="B598">
        <v>0</v>
      </c>
      <c r="C598" s="4">
        <v>0.93342391304347827</v>
      </c>
    </row>
    <row r="599" spans="1:3">
      <c r="A599">
        <v>325.9013671875</v>
      </c>
      <c r="B599">
        <v>0</v>
      </c>
      <c r="C599" s="4">
        <v>0.93342391304347827</v>
      </c>
    </row>
    <row r="600" spans="1:3">
      <c r="A600">
        <v>326.447265625</v>
      </c>
      <c r="B600">
        <v>0</v>
      </c>
      <c r="C600" s="4">
        <v>0.93342391304347827</v>
      </c>
    </row>
    <row r="601" spans="1:3">
      <c r="A601">
        <v>326.9931640625</v>
      </c>
      <c r="B601">
        <v>0</v>
      </c>
      <c r="C601" s="4">
        <v>0.93342391304347827</v>
      </c>
    </row>
    <row r="602" spans="1:3">
      <c r="A602">
        <v>327.5390625</v>
      </c>
      <c r="B602">
        <v>0</v>
      </c>
      <c r="C602" s="4">
        <v>0.93342391304347827</v>
      </c>
    </row>
    <row r="603" spans="1:3">
      <c r="A603">
        <v>328.0849609375</v>
      </c>
      <c r="B603">
        <v>1</v>
      </c>
      <c r="C603" s="4">
        <v>0.93478260869565222</v>
      </c>
    </row>
    <row r="604" spans="1:3">
      <c r="A604">
        <v>328.630859375</v>
      </c>
      <c r="B604">
        <v>0</v>
      </c>
      <c r="C604" s="4">
        <v>0.93478260869565222</v>
      </c>
    </row>
    <row r="605" spans="1:3">
      <c r="A605">
        <v>329.1767578125</v>
      </c>
      <c r="B605">
        <v>0</v>
      </c>
      <c r="C605" s="4">
        <v>0.93478260869565222</v>
      </c>
    </row>
    <row r="606" spans="1:3">
      <c r="A606">
        <v>329.72265625</v>
      </c>
      <c r="B606">
        <v>0</v>
      </c>
      <c r="C606" s="4">
        <v>0.93478260869565222</v>
      </c>
    </row>
    <row r="607" spans="1:3">
      <c r="A607">
        <v>330.2685546875</v>
      </c>
      <c r="B607">
        <v>0</v>
      </c>
      <c r="C607" s="4">
        <v>0.93478260869565222</v>
      </c>
    </row>
    <row r="608" spans="1:3">
      <c r="A608">
        <v>330.814453125</v>
      </c>
      <c r="B608">
        <v>0</v>
      </c>
      <c r="C608" s="4">
        <v>0.93478260869565222</v>
      </c>
    </row>
    <row r="609" spans="1:3">
      <c r="A609">
        <v>331.3603515625</v>
      </c>
      <c r="B609">
        <v>2</v>
      </c>
      <c r="C609" s="4">
        <v>0.9375</v>
      </c>
    </row>
    <row r="610" spans="1:3">
      <c r="A610">
        <v>331.90625</v>
      </c>
      <c r="B610">
        <v>0</v>
      </c>
      <c r="C610" s="4">
        <v>0.9375</v>
      </c>
    </row>
    <row r="611" spans="1:3">
      <c r="A611">
        <v>332.4521484375</v>
      </c>
      <c r="B611">
        <v>1</v>
      </c>
      <c r="C611" s="4">
        <v>0.93885869565217395</v>
      </c>
    </row>
    <row r="612" spans="1:3">
      <c r="A612">
        <v>332.998046875</v>
      </c>
      <c r="B612">
        <v>0</v>
      </c>
      <c r="C612" s="4">
        <v>0.93885869565217395</v>
      </c>
    </row>
    <row r="613" spans="1:3">
      <c r="A613">
        <v>333.5439453125</v>
      </c>
      <c r="B613">
        <v>0</v>
      </c>
      <c r="C613" s="4">
        <v>0.93885869565217395</v>
      </c>
    </row>
    <row r="614" spans="1:3">
      <c r="A614">
        <v>334.08984375</v>
      </c>
      <c r="B614">
        <v>0</v>
      </c>
      <c r="C614" s="4">
        <v>0.93885869565217395</v>
      </c>
    </row>
    <row r="615" spans="1:3">
      <c r="A615">
        <v>334.6357421875</v>
      </c>
      <c r="B615">
        <v>0</v>
      </c>
      <c r="C615" s="4">
        <v>0.93885869565217395</v>
      </c>
    </row>
    <row r="616" spans="1:3">
      <c r="A616">
        <v>335.181640625</v>
      </c>
      <c r="B616">
        <v>0</v>
      </c>
      <c r="C616" s="4">
        <v>0.93885869565217395</v>
      </c>
    </row>
    <row r="617" spans="1:3">
      <c r="A617">
        <v>335.7275390625</v>
      </c>
      <c r="B617">
        <v>0</v>
      </c>
      <c r="C617" s="4">
        <v>0.93885869565217395</v>
      </c>
    </row>
    <row r="618" spans="1:3">
      <c r="A618">
        <v>336.2734375</v>
      </c>
      <c r="B618">
        <v>1</v>
      </c>
      <c r="C618" s="4">
        <v>0.94021739130434778</v>
      </c>
    </row>
    <row r="619" spans="1:3">
      <c r="A619">
        <v>336.8193359375</v>
      </c>
      <c r="B619">
        <v>0</v>
      </c>
      <c r="C619" s="4">
        <v>0.94021739130434778</v>
      </c>
    </row>
    <row r="620" spans="1:3">
      <c r="A620">
        <v>337.365234375</v>
      </c>
      <c r="B620">
        <v>1</v>
      </c>
      <c r="C620" s="4">
        <v>0.94157608695652173</v>
      </c>
    </row>
    <row r="621" spans="1:3">
      <c r="A621">
        <v>337.9111328125</v>
      </c>
      <c r="B621">
        <v>0</v>
      </c>
      <c r="C621" s="4">
        <v>0.94157608695652173</v>
      </c>
    </row>
    <row r="622" spans="1:3">
      <c r="A622">
        <v>338.45703125</v>
      </c>
      <c r="B622">
        <v>0</v>
      </c>
      <c r="C622" s="4">
        <v>0.94157608695652173</v>
      </c>
    </row>
    <row r="623" spans="1:3">
      <c r="A623">
        <v>339.0029296875</v>
      </c>
      <c r="B623">
        <v>1</v>
      </c>
      <c r="C623" s="4">
        <v>0.94293478260869568</v>
      </c>
    </row>
    <row r="624" spans="1:3">
      <c r="A624">
        <v>339.548828125</v>
      </c>
      <c r="B624">
        <v>0</v>
      </c>
      <c r="C624" s="4">
        <v>0.94293478260869568</v>
      </c>
    </row>
    <row r="625" spans="1:3">
      <c r="A625">
        <v>340.0947265625</v>
      </c>
      <c r="B625">
        <v>0</v>
      </c>
      <c r="C625" s="4">
        <v>0.94293478260869568</v>
      </c>
    </row>
    <row r="626" spans="1:3">
      <c r="A626">
        <v>340.640625</v>
      </c>
      <c r="B626">
        <v>0</v>
      </c>
      <c r="C626" s="4">
        <v>0.94293478260869568</v>
      </c>
    </row>
    <row r="627" spans="1:3">
      <c r="A627">
        <v>341.1865234375</v>
      </c>
      <c r="B627">
        <v>2</v>
      </c>
      <c r="C627" s="4">
        <v>0.94565217391304346</v>
      </c>
    </row>
    <row r="628" spans="1:3">
      <c r="A628">
        <v>341.732421875</v>
      </c>
      <c r="B628">
        <v>0</v>
      </c>
      <c r="C628" s="4">
        <v>0.94565217391304346</v>
      </c>
    </row>
    <row r="629" spans="1:3">
      <c r="A629">
        <v>342.2783203125</v>
      </c>
      <c r="B629">
        <v>1</v>
      </c>
      <c r="C629" s="4">
        <v>0.94701086956521741</v>
      </c>
    </row>
    <row r="630" spans="1:3">
      <c r="A630">
        <v>342.82421875</v>
      </c>
      <c r="B630">
        <v>0</v>
      </c>
      <c r="C630" s="4">
        <v>0.94701086956521741</v>
      </c>
    </row>
    <row r="631" spans="1:3">
      <c r="A631">
        <v>343.3701171875</v>
      </c>
      <c r="B631">
        <v>0</v>
      </c>
      <c r="C631" s="4">
        <v>0.94701086956521741</v>
      </c>
    </row>
    <row r="632" spans="1:3">
      <c r="A632">
        <v>343.916015625</v>
      </c>
      <c r="B632">
        <v>0</v>
      </c>
      <c r="C632" s="4">
        <v>0.94701086956521741</v>
      </c>
    </row>
    <row r="633" spans="1:3">
      <c r="A633">
        <v>344.4619140625</v>
      </c>
      <c r="B633">
        <v>0</v>
      </c>
      <c r="C633" s="4">
        <v>0.94701086956521741</v>
      </c>
    </row>
    <row r="634" spans="1:3">
      <c r="A634">
        <v>345.0078125</v>
      </c>
      <c r="B634">
        <v>1</v>
      </c>
      <c r="C634" s="4">
        <v>0.94836956521739135</v>
      </c>
    </row>
    <row r="635" spans="1:3">
      <c r="A635">
        <v>345.5537109375</v>
      </c>
      <c r="B635">
        <v>0</v>
      </c>
      <c r="C635" s="4">
        <v>0.94836956521739135</v>
      </c>
    </row>
    <row r="636" spans="1:3">
      <c r="A636">
        <v>346.099609375</v>
      </c>
      <c r="B636">
        <v>0</v>
      </c>
      <c r="C636" s="4">
        <v>0.94836956521739135</v>
      </c>
    </row>
    <row r="637" spans="1:3">
      <c r="A637">
        <v>346.6455078125</v>
      </c>
      <c r="B637">
        <v>0</v>
      </c>
      <c r="C637" s="4">
        <v>0.94836956521739135</v>
      </c>
    </row>
    <row r="638" spans="1:3">
      <c r="A638">
        <v>347.19140625</v>
      </c>
      <c r="B638">
        <v>0</v>
      </c>
      <c r="C638" s="4">
        <v>0.94836956521739135</v>
      </c>
    </row>
    <row r="639" spans="1:3">
      <c r="A639">
        <v>347.7373046875</v>
      </c>
      <c r="B639">
        <v>0</v>
      </c>
      <c r="C639" s="4">
        <v>0.94836956521739135</v>
      </c>
    </row>
    <row r="640" spans="1:3">
      <c r="A640">
        <v>348.283203125</v>
      </c>
      <c r="B640">
        <v>0</v>
      </c>
      <c r="C640" s="4">
        <v>0.94836956521739135</v>
      </c>
    </row>
    <row r="641" spans="1:3">
      <c r="A641">
        <v>348.8291015625</v>
      </c>
      <c r="B641">
        <v>0</v>
      </c>
      <c r="C641" s="4">
        <v>0.94836956521739135</v>
      </c>
    </row>
    <row r="642" spans="1:3">
      <c r="A642">
        <v>349.375</v>
      </c>
      <c r="B642">
        <v>1</v>
      </c>
      <c r="C642" s="4">
        <v>0.94972826086956519</v>
      </c>
    </row>
    <row r="643" spans="1:3">
      <c r="A643">
        <v>349.9208984375</v>
      </c>
      <c r="B643">
        <v>0</v>
      </c>
      <c r="C643" s="4">
        <v>0.94972826086956519</v>
      </c>
    </row>
    <row r="644" spans="1:3">
      <c r="A644">
        <v>350.466796875</v>
      </c>
      <c r="B644">
        <v>0</v>
      </c>
      <c r="C644" s="4">
        <v>0.94972826086956519</v>
      </c>
    </row>
    <row r="645" spans="1:3">
      <c r="A645">
        <v>351.0126953125</v>
      </c>
      <c r="B645">
        <v>2</v>
      </c>
      <c r="C645" s="4">
        <v>0.95244565217391308</v>
      </c>
    </row>
    <row r="646" spans="1:3">
      <c r="A646">
        <v>351.55859375</v>
      </c>
      <c r="B646">
        <v>0</v>
      </c>
      <c r="C646" s="4">
        <v>0.95244565217391308</v>
      </c>
    </row>
    <row r="647" spans="1:3">
      <c r="A647">
        <v>352.1044921875</v>
      </c>
      <c r="B647">
        <v>0</v>
      </c>
      <c r="C647" s="4">
        <v>0.95244565217391308</v>
      </c>
    </row>
    <row r="648" spans="1:3">
      <c r="A648">
        <v>352.650390625</v>
      </c>
      <c r="B648">
        <v>0</v>
      </c>
      <c r="C648" s="4">
        <v>0.95244565217391308</v>
      </c>
    </row>
    <row r="649" spans="1:3">
      <c r="A649">
        <v>353.1962890625</v>
      </c>
      <c r="B649">
        <v>0</v>
      </c>
      <c r="C649" s="4">
        <v>0.95244565217391308</v>
      </c>
    </row>
    <row r="650" spans="1:3">
      <c r="A650">
        <v>353.7421875</v>
      </c>
      <c r="B650">
        <v>0</v>
      </c>
      <c r="C650" s="4">
        <v>0.95244565217391308</v>
      </c>
    </row>
    <row r="651" spans="1:3">
      <c r="A651">
        <v>354.2880859375</v>
      </c>
      <c r="B651">
        <v>1</v>
      </c>
      <c r="C651" s="4">
        <v>0.95380434782608692</v>
      </c>
    </row>
    <row r="652" spans="1:3">
      <c r="A652">
        <v>354.833984375</v>
      </c>
      <c r="B652">
        <v>0</v>
      </c>
      <c r="C652" s="4">
        <v>0.95380434782608692</v>
      </c>
    </row>
    <row r="653" spans="1:3">
      <c r="A653">
        <v>355.3798828125</v>
      </c>
      <c r="B653">
        <v>1</v>
      </c>
      <c r="C653" s="4">
        <v>0.95516304347826086</v>
      </c>
    </row>
    <row r="654" spans="1:3">
      <c r="A654">
        <v>355.92578125</v>
      </c>
      <c r="B654">
        <v>0</v>
      </c>
      <c r="C654" s="4">
        <v>0.95516304347826086</v>
      </c>
    </row>
    <row r="655" spans="1:3">
      <c r="A655">
        <v>356.4716796875</v>
      </c>
      <c r="B655">
        <v>0</v>
      </c>
      <c r="C655" s="4">
        <v>0.95516304347826086</v>
      </c>
    </row>
    <row r="656" spans="1:3">
      <c r="A656">
        <v>357.017578125</v>
      </c>
      <c r="B656">
        <v>0</v>
      </c>
      <c r="C656" s="4">
        <v>0.95516304347826086</v>
      </c>
    </row>
    <row r="657" spans="1:3">
      <c r="A657">
        <v>357.5634765625</v>
      </c>
      <c r="B657">
        <v>0</v>
      </c>
      <c r="C657" s="4">
        <v>0.95516304347826086</v>
      </c>
    </row>
    <row r="658" spans="1:3">
      <c r="A658">
        <v>358.109375</v>
      </c>
      <c r="B658">
        <v>0</v>
      </c>
      <c r="C658" s="4">
        <v>0.95516304347826086</v>
      </c>
    </row>
    <row r="659" spans="1:3">
      <c r="A659">
        <v>358.6552734375</v>
      </c>
      <c r="B659">
        <v>0</v>
      </c>
      <c r="C659" s="4">
        <v>0.95516304347826086</v>
      </c>
    </row>
    <row r="660" spans="1:3">
      <c r="A660">
        <v>359.201171875</v>
      </c>
      <c r="B660">
        <v>1</v>
      </c>
      <c r="C660" s="4">
        <v>0.95652173913043481</v>
      </c>
    </row>
    <row r="661" spans="1:3">
      <c r="A661">
        <v>359.7470703125</v>
      </c>
      <c r="B661">
        <v>0</v>
      </c>
      <c r="C661" s="4">
        <v>0.95652173913043481</v>
      </c>
    </row>
    <row r="662" spans="1:3">
      <c r="A662">
        <v>360.29296875</v>
      </c>
      <c r="B662">
        <v>0</v>
      </c>
      <c r="C662" s="4">
        <v>0.95652173913043481</v>
      </c>
    </row>
    <row r="663" spans="1:3">
      <c r="A663">
        <v>360.8388671875</v>
      </c>
      <c r="B663">
        <v>0</v>
      </c>
      <c r="C663" s="4">
        <v>0.95652173913043481</v>
      </c>
    </row>
    <row r="664" spans="1:3">
      <c r="A664">
        <v>361.384765625</v>
      </c>
      <c r="B664">
        <v>2</v>
      </c>
      <c r="C664" s="4">
        <v>0.95923913043478259</v>
      </c>
    </row>
    <row r="665" spans="1:3">
      <c r="A665">
        <v>361.9306640625</v>
      </c>
      <c r="B665">
        <v>0</v>
      </c>
      <c r="C665" s="4">
        <v>0.95923913043478259</v>
      </c>
    </row>
    <row r="666" spans="1:3">
      <c r="A666">
        <v>362.4765625</v>
      </c>
      <c r="B666">
        <v>0</v>
      </c>
      <c r="C666" s="4">
        <v>0.95923913043478259</v>
      </c>
    </row>
    <row r="667" spans="1:3">
      <c r="A667">
        <v>363.0224609375</v>
      </c>
      <c r="B667">
        <v>0</v>
      </c>
      <c r="C667" s="4">
        <v>0.95923913043478259</v>
      </c>
    </row>
    <row r="668" spans="1:3">
      <c r="A668">
        <v>363.568359375</v>
      </c>
      <c r="B668">
        <v>0</v>
      </c>
      <c r="C668" s="4">
        <v>0.95923913043478259</v>
      </c>
    </row>
    <row r="669" spans="1:3">
      <c r="A669">
        <v>364.1142578125</v>
      </c>
      <c r="B669">
        <v>0</v>
      </c>
      <c r="C669" s="4">
        <v>0.95923913043478259</v>
      </c>
    </row>
    <row r="670" spans="1:3">
      <c r="A670">
        <v>364.66015625</v>
      </c>
      <c r="B670">
        <v>0</v>
      </c>
      <c r="C670" s="4">
        <v>0.95923913043478259</v>
      </c>
    </row>
    <row r="671" spans="1:3">
      <c r="A671">
        <v>365.2060546875</v>
      </c>
      <c r="B671">
        <v>0</v>
      </c>
      <c r="C671" s="4">
        <v>0.95923913043478259</v>
      </c>
    </row>
    <row r="672" spans="1:3">
      <c r="A672">
        <v>365.751953125</v>
      </c>
      <c r="B672">
        <v>0</v>
      </c>
      <c r="C672" s="4">
        <v>0.95923913043478259</v>
      </c>
    </row>
    <row r="673" spans="1:3">
      <c r="A673">
        <v>366.2978515625</v>
      </c>
      <c r="B673">
        <v>0</v>
      </c>
      <c r="C673" s="4">
        <v>0.95923913043478259</v>
      </c>
    </row>
    <row r="674" spans="1:3">
      <c r="A674">
        <v>366.84375</v>
      </c>
      <c r="B674">
        <v>0</v>
      </c>
      <c r="C674" s="4">
        <v>0.95923913043478259</v>
      </c>
    </row>
    <row r="675" spans="1:3">
      <c r="A675">
        <v>367.3896484375</v>
      </c>
      <c r="B675">
        <v>1</v>
      </c>
      <c r="C675" s="4">
        <v>0.96059782608695654</v>
      </c>
    </row>
    <row r="676" spans="1:3">
      <c r="A676">
        <v>367.935546875</v>
      </c>
      <c r="B676">
        <v>0</v>
      </c>
      <c r="C676" s="4">
        <v>0.96059782608695654</v>
      </c>
    </row>
    <row r="677" spans="1:3">
      <c r="A677">
        <v>368.4814453125</v>
      </c>
      <c r="B677">
        <v>0</v>
      </c>
      <c r="C677" s="4">
        <v>0.96059782608695654</v>
      </c>
    </row>
    <row r="678" spans="1:3">
      <c r="A678">
        <v>369.02734375</v>
      </c>
      <c r="B678">
        <v>0</v>
      </c>
      <c r="C678" s="4">
        <v>0.96059782608695654</v>
      </c>
    </row>
    <row r="679" spans="1:3">
      <c r="A679">
        <v>369.5732421875</v>
      </c>
      <c r="B679">
        <v>0</v>
      </c>
      <c r="C679" s="4">
        <v>0.96059782608695654</v>
      </c>
    </row>
    <row r="680" spans="1:3">
      <c r="A680">
        <v>370.119140625</v>
      </c>
      <c r="B680">
        <v>0</v>
      </c>
      <c r="C680" s="4">
        <v>0.96059782608695654</v>
      </c>
    </row>
    <row r="681" spans="1:3">
      <c r="A681">
        <v>370.6650390625</v>
      </c>
      <c r="B681">
        <v>0</v>
      </c>
      <c r="C681" s="4">
        <v>0.96059782608695654</v>
      </c>
    </row>
    <row r="682" spans="1:3">
      <c r="A682">
        <v>371.2109375</v>
      </c>
      <c r="B682">
        <v>0</v>
      </c>
      <c r="C682" s="4">
        <v>0.96059782608695654</v>
      </c>
    </row>
    <row r="683" spans="1:3">
      <c r="A683">
        <v>371.7568359375</v>
      </c>
      <c r="B683">
        <v>0</v>
      </c>
      <c r="C683" s="4">
        <v>0.96059782608695654</v>
      </c>
    </row>
    <row r="684" spans="1:3">
      <c r="A684">
        <v>372.302734375</v>
      </c>
      <c r="B684">
        <v>0</v>
      </c>
      <c r="C684" s="4">
        <v>0.96059782608695654</v>
      </c>
    </row>
    <row r="685" spans="1:3">
      <c r="A685">
        <v>372.8486328125</v>
      </c>
      <c r="B685">
        <v>0</v>
      </c>
      <c r="C685" s="4">
        <v>0.96059782608695654</v>
      </c>
    </row>
    <row r="686" spans="1:3">
      <c r="A686">
        <v>373.39453125</v>
      </c>
      <c r="B686">
        <v>0</v>
      </c>
      <c r="C686" s="4">
        <v>0.96059782608695654</v>
      </c>
    </row>
    <row r="687" spans="1:3">
      <c r="A687">
        <v>373.9404296875</v>
      </c>
      <c r="B687">
        <v>0</v>
      </c>
      <c r="C687" s="4">
        <v>0.96059782608695654</v>
      </c>
    </row>
    <row r="688" spans="1:3">
      <c r="A688">
        <v>374.486328125</v>
      </c>
      <c r="B688">
        <v>1</v>
      </c>
      <c r="C688" s="4">
        <v>0.96195652173913049</v>
      </c>
    </row>
    <row r="689" spans="1:3">
      <c r="A689">
        <v>375.0322265625</v>
      </c>
      <c r="B689">
        <v>0</v>
      </c>
      <c r="C689" s="4">
        <v>0.96195652173913049</v>
      </c>
    </row>
    <row r="690" spans="1:3">
      <c r="A690">
        <v>375.578125</v>
      </c>
      <c r="B690">
        <v>0</v>
      </c>
      <c r="C690" s="4">
        <v>0.96195652173913049</v>
      </c>
    </row>
    <row r="691" spans="1:3">
      <c r="A691">
        <v>376.1240234375</v>
      </c>
      <c r="B691">
        <v>1</v>
      </c>
      <c r="C691" s="4">
        <v>0.96331521739130432</v>
      </c>
    </row>
    <row r="692" spans="1:3">
      <c r="A692">
        <v>376.669921875</v>
      </c>
      <c r="B692">
        <v>0</v>
      </c>
      <c r="C692" s="4">
        <v>0.96331521739130432</v>
      </c>
    </row>
    <row r="693" spans="1:3">
      <c r="A693">
        <v>377.2158203125</v>
      </c>
      <c r="B693">
        <v>0</v>
      </c>
      <c r="C693" s="4">
        <v>0.96331521739130432</v>
      </c>
    </row>
    <row r="694" spans="1:3">
      <c r="A694">
        <v>377.76171875</v>
      </c>
      <c r="B694">
        <v>0</v>
      </c>
      <c r="C694" s="4">
        <v>0.96331521739130432</v>
      </c>
    </row>
    <row r="695" spans="1:3">
      <c r="A695">
        <v>378.3076171875</v>
      </c>
      <c r="B695">
        <v>1</v>
      </c>
      <c r="C695" s="4">
        <v>0.96467391304347827</v>
      </c>
    </row>
    <row r="696" spans="1:3">
      <c r="A696">
        <v>378.853515625</v>
      </c>
      <c r="B696">
        <v>0</v>
      </c>
      <c r="C696" s="4">
        <v>0.96467391304347827</v>
      </c>
    </row>
    <row r="697" spans="1:3">
      <c r="A697">
        <v>379.3994140625</v>
      </c>
      <c r="B697">
        <v>0</v>
      </c>
      <c r="C697" s="4">
        <v>0.96467391304347827</v>
      </c>
    </row>
    <row r="698" spans="1:3">
      <c r="A698">
        <v>379.9453125</v>
      </c>
      <c r="B698">
        <v>0</v>
      </c>
      <c r="C698" s="4">
        <v>0.96467391304347827</v>
      </c>
    </row>
    <row r="699" spans="1:3">
      <c r="A699">
        <v>380.4912109375</v>
      </c>
      <c r="B699">
        <v>0</v>
      </c>
      <c r="C699" s="4">
        <v>0.96467391304347827</v>
      </c>
    </row>
    <row r="700" spans="1:3">
      <c r="A700">
        <v>381.037109375</v>
      </c>
      <c r="B700">
        <v>0</v>
      </c>
      <c r="C700" s="4">
        <v>0.96467391304347827</v>
      </c>
    </row>
    <row r="701" spans="1:3">
      <c r="A701">
        <v>381.5830078125</v>
      </c>
      <c r="B701">
        <v>0</v>
      </c>
      <c r="C701" s="4">
        <v>0.96467391304347827</v>
      </c>
    </row>
    <row r="702" spans="1:3">
      <c r="A702">
        <v>382.12890625</v>
      </c>
      <c r="B702">
        <v>0</v>
      </c>
      <c r="C702" s="4">
        <v>0.96467391304347827</v>
      </c>
    </row>
    <row r="703" spans="1:3">
      <c r="A703">
        <v>382.6748046875</v>
      </c>
      <c r="B703">
        <v>0</v>
      </c>
      <c r="C703" s="4">
        <v>0.96467391304347827</v>
      </c>
    </row>
    <row r="704" spans="1:3">
      <c r="A704">
        <v>383.220703125</v>
      </c>
      <c r="B704">
        <v>0</v>
      </c>
      <c r="C704" s="4">
        <v>0.96467391304347827</v>
      </c>
    </row>
    <row r="705" spans="1:3">
      <c r="A705">
        <v>383.7666015625</v>
      </c>
      <c r="B705">
        <v>0</v>
      </c>
      <c r="C705" s="4">
        <v>0.96467391304347827</v>
      </c>
    </row>
    <row r="706" spans="1:3">
      <c r="A706">
        <v>384.3125</v>
      </c>
      <c r="B706">
        <v>0</v>
      </c>
      <c r="C706" s="4">
        <v>0.96467391304347827</v>
      </c>
    </row>
    <row r="707" spans="1:3">
      <c r="A707">
        <v>384.8583984375</v>
      </c>
      <c r="B707">
        <v>0</v>
      </c>
      <c r="C707" s="4">
        <v>0.96467391304347827</v>
      </c>
    </row>
    <row r="708" spans="1:3">
      <c r="A708">
        <v>385.404296875</v>
      </c>
      <c r="B708">
        <v>0</v>
      </c>
      <c r="C708" s="4">
        <v>0.96467391304347827</v>
      </c>
    </row>
    <row r="709" spans="1:3">
      <c r="A709">
        <v>385.9501953125</v>
      </c>
      <c r="B709">
        <v>0</v>
      </c>
      <c r="C709" s="4">
        <v>0.96467391304347827</v>
      </c>
    </row>
    <row r="710" spans="1:3">
      <c r="A710">
        <v>386.49609375</v>
      </c>
      <c r="B710">
        <v>0</v>
      </c>
      <c r="C710" s="4">
        <v>0.96467391304347827</v>
      </c>
    </row>
    <row r="711" spans="1:3">
      <c r="A711">
        <v>387.0419921875</v>
      </c>
      <c r="B711">
        <v>1</v>
      </c>
      <c r="C711" s="4">
        <v>0.96603260869565222</v>
      </c>
    </row>
    <row r="712" spans="1:3">
      <c r="A712">
        <v>387.587890625</v>
      </c>
      <c r="B712">
        <v>0</v>
      </c>
      <c r="C712" s="4">
        <v>0.96603260869565222</v>
      </c>
    </row>
    <row r="713" spans="1:3">
      <c r="A713">
        <v>388.1337890625</v>
      </c>
      <c r="B713">
        <v>0</v>
      </c>
      <c r="C713" s="4">
        <v>0.96603260869565222</v>
      </c>
    </row>
    <row r="714" spans="1:3">
      <c r="A714">
        <v>388.6796875</v>
      </c>
      <c r="B714">
        <v>0</v>
      </c>
      <c r="C714" s="4">
        <v>0.96603260869565222</v>
      </c>
    </row>
    <row r="715" spans="1:3">
      <c r="A715">
        <v>389.2255859375</v>
      </c>
      <c r="B715">
        <v>0</v>
      </c>
      <c r="C715" s="4">
        <v>0.96603260869565222</v>
      </c>
    </row>
    <row r="716" spans="1:3">
      <c r="A716">
        <v>389.771484375</v>
      </c>
      <c r="B716">
        <v>0</v>
      </c>
      <c r="C716" s="4">
        <v>0.96603260869565222</v>
      </c>
    </row>
    <row r="717" spans="1:3">
      <c r="A717">
        <v>390.3173828125</v>
      </c>
      <c r="B717">
        <v>0</v>
      </c>
      <c r="C717" s="4">
        <v>0.96603260869565222</v>
      </c>
    </row>
    <row r="718" spans="1:3">
      <c r="A718">
        <v>390.86328125</v>
      </c>
      <c r="B718">
        <v>0</v>
      </c>
      <c r="C718" s="4">
        <v>0.96603260869565222</v>
      </c>
    </row>
    <row r="719" spans="1:3">
      <c r="A719">
        <v>391.4091796875</v>
      </c>
      <c r="B719">
        <v>0</v>
      </c>
      <c r="C719" s="4">
        <v>0.96603260869565222</v>
      </c>
    </row>
    <row r="720" spans="1:3">
      <c r="A720">
        <v>391.955078125</v>
      </c>
      <c r="B720">
        <v>0</v>
      </c>
      <c r="C720" s="4">
        <v>0.96603260869565222</v>
      </c>
    </row>
    <row r="721" spans="1:3">
      <c r="A721">
        <v>392.5009765625</v>
      </c>
      <c r="B721">
        <v>0</v>
      </c>
      <c r="C721" s="4">
        <v>0.96603260869565222</v>
      </c>
    </row>
    <row r="722" spans="1:3">
      <c r="A722">
        <v>393.046875</v>
      </c>
      <c r="B722">
        <v>0</v>
      </c>
      <c r="C722" s="4">
        <v>0.96603260869565222</v>
      </c>
    </row>
    <row r="723" spans="1:3">
      <c r="A723">
        <v>393.5927734375</v>
      </c>
      <c r="B723">
        <v>0</v>
      </c>
      <c r="C723" s="4">
        <v>0.96603260869565222</v>
      </c>
    </row>
    <row r="724" spans="1:3">
      <c r="A724">
        <v>394.138671875</v>
      </c>
      <c r="B724">
        <v>0</v>
      </c>
      <c r="C724" s="4">
        <v>0.96603260869565222</v>
      </c>
    </row>
    <row r="725" spans="1:3">
      <c r="A725">
        <v>394.6845703125</v>
      </c>
      <c r="B725">
        <v>0</v>
      </c>
      <c r="C725" s="4">
        <v>0.96603260869565222</v>
      </c>
    </row>
    <row r="726" spans="1:3">
      <c r="A726">
        <v>395.23046875</v>
      </c>
      <c r="B726">
        <v>0</v>
      </c>
      <c r="C726" s="4">
        <v>0.96603260869565222</v>
      </c>
    </row>
    <row r="727" spans="1:3">
      <c r="A727">
        <v>395.7763671875</v>
      </c>
      <c r="B727">
        <v>0</v>
      </c>
      <c r="C727" s="4">
        <v>0.96603260869565222</v>
      </c>
    </row>
    <row r="728" spans="1:3">
      <c r="A728">
        <v>396.322265625</v>
      </c>
      <c r="B728">
        <v>0</v>
      </c>
      <c r="C728" s="4">
        <v>0.96603260869565222</v>
      </c>
    </row>
    <row r="729" spans="1:3">
      <c r="A729">
        <v>396.8681640625</v>
      </c>
      <c r="B729">
        <v>0</v>
      </c>
      <c r="C729" s="4">
        <v>0.96603260869565222</v>
      </c>
    </row>
    <row r="730" spans="1:3">
      <c r="A730">
        <v>397.4140625</v>
      </c>
      <c r="B730">
        <v>1</v>
      </c>
      <c r="C730" s="4">
        <v>0.96739130434782605</v>
      </c>
    </row>
    <row r="731" spans="1:3">
      <c r="A731">
        <v>397.9599609375</v>
      </c>
      <c r="B731">
        <v>0</v>
      </c>
      <c r="C731" s="4">
        <v>0.96739130434782605</v>
      </c>
    </row>
    <row r="732" spans="1:3">
      <c r="A732">
        <v>398.505859375</v>
      </c>
      <c r="B732">
        <v>1</v>
      </c>
      <c r="C732" s="4">
        <v>0.96875</v>
      </c>
    </row>
    <row r="733" spans="1:3">
      <c r="A733">
        <v>399.0517578125</v>
      </c>
      <c r="B733">
        <v>0</v>
      </c>
      <c r="C733" s="4">
        <v>0.96875</v>
      </c>
    </row>
    <row r="734" spans="1:3">
      <c r="A734">
        <v>399.59765625</v>
      </c>
      <c r="B734">
        <v>0</v>
      </c>
      <c r="C734" s="4">
        <v>0.96875</v>
      </c>
    </row>
    <row r="735" spans="1:3">
      <c r="A735">
        <v>400.1435546875</v>
      </c>
      <c r="B735">
        <v>0</v>
      </c>
      <c r="C735" s="4">
        <v>0.96875</v>
      </c>
    </row>
    <row r="736" spans="1:3">
      <c r="A736">
        <v>400.689453125</v>
      </c>
      <c r="B736">
        <v>0</v>
      </c>
      <c r="C736" s="4">
        <v>0.96875</v>
      </c>
    </row>
    <row r="737" spans="1:3">
      <c r="A737">
        <v>401.2353515625</v>
      </c>
      <c r="B737">
        <v>0</v>
      </c>
      <c r="C737" s="4">
        <v>0.96875</v>
      </c>
    </row>
    <row r="738" spans="1:3">
      <c r="A738">
        <v>401.78125</v>
      </c>
      <c r="B738">
        <v>0</v>
      </c>
      <c r="C738" s="4">
        <v>0.96875</v>
      </c>
    </row>
    <row r="739" spans="1:3">
      <c r="A739">
        <v>402.3271484375</v>
      </c>
      <c r="B739">
        <v>1</v>
      </c>
      <c r="C739" s="4">
        <v>0.97010869565217395</v>
      </c>
    </row>
    <row r="740" spans="1:3">
      <c r="A740">
        <v>402.873046875</v>
      </c>
      <c r="B740">
        <v>0</v>
      </c>
      <c r="C740" s="4">
        <v>0.97010869565217395</v>
      </c>
    </row>
    <row r="741" spans="1:3">
      <c r="A741">
        <v>403.4189453125</v>
      </c>
      <c r="B741">
        <v>0</v>
      </c>
      <c r="C741" s="4">
        <v>0.97010869565217395</v>
      </c>
    </row>
    <row r="742" spans="1:3">
      <c r="A742">
        <v>403.96484375</v>
      </c>
      <c r="B742">
        <v>0</v>
      </c>
      <c r="C742" s="4">
        <v>0.97010869565217395</v>
      </c>
    </row>
    <row r="743" spans="1:3">
      <c r="A743">
        <v>404.5107421875</v>
      </c>
      <c r="B743">
        <v>0</v>
      </c>
      <c r="C743" s="4">
        <v>0.97010869565217395</v>
      </c>
    </row>
    <row r="744" spans="1:3">
      <c r="A744">
        <v>405.056640625</v>
      </c>
      <c r="B744">
        <v>0</v>
      </c>
      <c r="C744" s="4">
        <v>0.97010869565217395</v>
      </c>
    </row>
    <row r="745" spans="1:3">
      <c r="A745">
        <v>405.6025390625</v>
      </c>
      <c r="B745">
        <v>0</v>
      </c>
      <c r="C745" s="4">
        <v>0.97010869565217395</v>
      </c>
    </row>
    <row r="746" spans="1:3">
      <c r="A746">
        <v>406.1484375</v>
      </c>
      <c r="B746">
        <v>1</v>
      </c>
      <c r="C746" s="4">
        <v>0.97146739130434778</v>
      </c>
    </row>
    <row r="747" spans="1:3">
      <c r="A747">
        <v>406.6943359375</v>
      </c>
      <c r="B747">
        <v>0</v>
      </c>
      <c r="C747" s="4">
        <v>0.97146739130434778</v>
      </c>
    </row>
    <row r="748" spans="1:3">
      <c r="A748">
        <v>407.240234375</v>
      </c>
      <c r="B748">
        <v>1</v>
      </c>
      <c r="C748" s="4">
        <v>0.97282608695652173</v>
      </c>
    </row>
    <row r="749" spans="1:3">
      <c r="A749">
        <v>407.7861328125</v>
      </c>
      <c r="B749">
        <v>0</v>
      </c>
      <c r="C749" s="4">
        <v>0.97282608695652173</v>
      </c>
    </row>
    <row r="750" spans="1:3">
      <c r="A750">
        <v>408.33203125</v>
      </c>
      <c r="B750">
        <v>0</v>
      </c>
      <c r="C750" s="4">
        <v>0.97282608695652173</v>
      </c>
    </row>
    <row r="751" spans="1:3">
      <c r="A751">
        <v>408.8779296875</v>
      </c>
      <c r="B751">
        <v>0</v>
      </c>
      <c r="C751" s="4">
        <v>0.97282608695652173</v>
      </c>
    </row>
    <row r="752" spans="1:3">
      <c r="A752">
        <v>409.423828125</v>
      </c>
      <c r="B752">
        <v>0</v>
      </c>
      <c r="C752" s="4">
        <v>0.97282608695652173</v>
      </c>
    </row>
    <row r="753" spans="1:3">
      <c r="A753">
        <v>409.9697265625</v>
      </c>
      <c r="B753">
        <v>0</v>
      </c>
      <c r="C753" s="4">
        <v>0.97282608695652173</v>
      </c>
    </row>
    <row r="754" spans="1:3">
      <c r="A754">
        <v>410.515625</v>
      </c>
      <c r="B754">
        <v>0</v>
      </c>
      <c r="C754" s="4">
        <v>0.97282608695652173</v>
      </c>
    </row>
    <row r="755" spans="1:3">
      <c r="A755">
        <v>411.0615234375</v>
      </c>
      <c r="B755">
        <v>0</v>
      </c>
      <c r="C755" s="4">
        <v>0.97282608695652173</v>
      </c>
    </row>
    <row r="756" spans="1:3">
      <c r="A756">
        <v>411.607421875</v>
      </c>
      <c r="B756">
        <v>0</v>
      </c>
      <c r="C756" s="4">
        <v>0.97282608695652173</v>
      </c>
    </row>
    <row r="757" spans="1:3">
      <c r="A757">
        <v>412.1533203125</v>
      </c>
      <c r="B757">
        <v>0</v>
      </c>
      <c r="C757" s="4">
        <v>0.97282608695652173</v>
      </c>
    </row>
    <row r="758" spans="1:3">
      <c r="A758">
        <v>412.69921875</v>
      </c>
      <c r="B758">
        <v>0</v>
      </c>
      <c r="C758" s="4">
        <v>0.97282608695652173</v>
      </c>
    </row>
    <row r="759" spans="1:3">
      <c r="A759">
        <v>413.2451171875</v>
      </c>
      <c r="B759">
        <v>2</v>
      </c>
      <c r="C759" s="4">
        <v>0.97554347826086951</v>
      </c>
    </row>
    <row r="760" spans="1:3">
      <c r="A760">
        <v>413.791015625</v>
      </c>
      <c r="B760">
        <v>0</v>
      </c>
      <c r="C760" s="4">
        <v>0.97554347826086951</v>
      </c>
    </row>
    <row r="761" spans="1:3">
      <c r="A761">
        <v>414.3369140625</v>
      </c>
      <c r="B761">
        <v>0</v>
      </c>
      <c r="C761" s="4">
        <v>0.97554347826086951</v>
      </c>
    </row>
    <row r="762" spans="1:3">
      <c r="A762">
        <v>414.8828125</v>
      </c>
      <c r="B762">
        <v>0</v>
      </c>
      <c r="C762" s="4">
        <v>0.97554347826086951</v>
      </c>
    </row>
    <row r="763" spans="1:3">
      <c r="A763">
        <v>415.4287109375</v>
      </c>
      <c r="B763">
        <v>0</v>
      </c>
      <c r="C763" s="4">
        <v>0.97554347826086951</v>
      </c>
    </row>
    <row r="764" spans="1:3">
      <c r="A764">
        <v>415.974609375</v>
      </c>
      <c r="B764">
        <v>0</v>
      </c>
      <c r="C764" s="4">
        <v>0.97554347826086951</v>
      </c>
    </row>
    <row r="765" spans="1:3">
      <c r="A765">
        <v>416.5205078125</v>
      </c>
      <c r="B765">
        <v>0</v>
      </c>
      <c r="C765" s="4">
        <v>0.97554347826086951</v>
      </c>
    </row>
    <row r="766" spans="1:3">
      <c r="A766">
        <v>417.06640625</v>
      </c>
      <c r="B766">
        <v>0</v>
      </c>
      <c r="C766" s="4">
        <v>0.97554347826086951</v>
      </c>
    </row>
    <row r="767" spans="1:3">
      <c r="A767">
        <v>417.6123046875</v>
      </c>
      <c r="B767">
        <v>0</v>
      </c>
      <c r="C767" s="4">
        <v>0.97554347826086951</v>
      </c>
    </row>
    <row r="768" spans="1:3">
      <c r="A768">
        <v>418.158203125</v>
      </c>
      <c r="B768">
        <v>0</v>
      </c>
      <c r="C768" s="4">
        <v>0.97554347826086951</v>
      </c>
    </row>
    <row r="769" spans="1:3">
      <c r="A769">
        <v>418.7041015625</v>
      </c>
      <c r="B769">
        <v>0</v>
      </c>
      <c r="C769" s="4">
        <v>0.97554347826086951</v>
      </c>
    </row>
    <row r="770" spans="1:3">
      <c r="A770">
        <v>419.25</v>
      </c>
      <c r="B770">
        <v>0</v>
      </c>
      <c r="C770" s="4">
        <v>0.97554347826086951</v>
      </c>
    </row>
    <row r="771" spans="1:3">
      <c r="A771">
        <v>419.7958984375</v>
      </c>
      <c r="B771">
        <v>0</v>
      </c>
      <c r="C771" s="4">
        <v>0.97554347826086951</v>
      </c>
    </row>
    <row r="772" spans="1:3">
      <c r="A772">
        <v>420.341796875</v>
      </c>
      <c r="B772">
        <v>0</v>
      </c>
      <c r="C772" s="4">
        <v>0.97554347826086951</v>
      </c>
    </row>
    <row r="773" spans="1:3">
      <c r="A773">
        <v>420.8876953125</v>
      </c>
      <c r="B773">
        <v>0</v>
      </c>
      <c r="C773" s="4">
        <v>0.97554347826086951</v>
      </c>
    </row>
    <row r="774" spans="1:3">
      <c r="A774">
        <v>421.43359375</v>
      </c>
      <c r="B774">
        <v>0</v>
      </c>
      <c r="C774" s="4">
        <v>0.97554347826086951</v>
      </c>
    </row>
    <row r="775" spans="1:3">
      <c r="A775">
        <v>421.9794921875</v>
      </c>
      <c r="B775">
        <v>0</v>
      </c>
      <c r="C775" s="4">
        <v>0.97554347826086951</v>
      </c>
    </row>
    <row r="776" spans="1:3">
      <c r="A776">
        <v>422.525390625</v>
      </c>
      <c r="B776">
        <v>0</v>
      </c>
      <c r="C776" s="4">
        <v>0.97554347826086951</v>
      </c>
    </row>
    <row r="777" spans="1:3">
      <c r="A777">
        <v>423.0712890625</v>
      </c>
      <c r="B777">
        <v>0</v>
      </c>
      <c r="C777" s="4">
        <v>0.97554347826086951</v>
      </c>
    </row>
    <row r="778" spans="1:3">
      <c r="A778">
        <v>423.6171875</v>
      </c>
      <c r="B778">
        <v>0</v>
      </c>
      <c r="C778" s="4">
        <v>0.97554347826086951</v>
      </c>
    </row>
    <row r="779" spans="1:3">
      <c r="A779">
        <v>424.1630859375</v>
      </c>
      <c r="B779">
        <v>0</v>
      </c>
      <c r="C779" s="4">
        <v>0.97554347826086951</v>
      </c>
    </row>
    <row r="780" spans="1:3">
      <c r="A780">
        <v>424.708984375</v>
      </c>
      <c r="B780">
        <v>0</v>
      </c>
      <c r="C780" s="4">
        <v>0.97554347826086951</v>
      </c>
    </row>
    <row r="781" spans="1:3">
      <c r="A781">
        <v>425.2548828125</v>
      </c>
      <c r="B781">
        <v>0</v>
      </c>
      <c r="C781" s="4">
        <v>0.97554347826086951</v>
      </c>
    </row>
    <row r="782" spans="1:3">
      <c r="A782">
        <v>425.80078125</v>
      </c>
      <c r="B782">
        <v>0</v>
      </c>
      <c r="C782" s="4">
        <v>0.97554347826086951</v>
      </c>
    </row>
    <row r="783" spans="1:3">
      <c r="A783">
        <v>426.3466796875</v>
      </c>
      <c r="B783">
        <v>0</v>
      </c>
      <c r="C783" s="4">
        <v>0.97554347826086951</v>
      </c>
    </row>
    <row r="784" spans="1:3">
      <c r="A784">
        <v>426.892578125</v>
      </c>
      <c r="B784">
        <v>0</v>
      </c>
      <c r="C784" s="4">
        <v>0.97554347826086951</v>
      </c>
    </row>
    <row r="785" spans="1:3">
      <c r="A785">
        <v>427.4384765625</v>
      </c>
      <c r="B785">
        <v>0</v>
      </c>
      <c r="C785" s="4">
        <v>0.97554347826086951</v>
      </c>
    </row>
    <row r="786" spans="1:3">
      <c r="A786">
        <v>427.984375</v>
      </c>
      <c r="B786">
        <v>0</v>
      </c>
      <c r="C786" s="4">
        <v>0.97554347826086951</v>
      </c>
    </row>
    <row r="787" spans="1:3">
      <c r="A787">
        <v>428.5302734375</v>
      </c>
      <c r="B787">
        <v>1</v>
      </c>
      <c r="C787" s="4">
        <v>0.97690217391304346</v>
      </c>
    </row>
    <row r="788" spans="1:3">
      <c r="A788">
        <v>429.076171875</v>
      </c>
      <c r="B788">
        <v>0</v>
      </c>
      <c r="C788" s="4">
        <v>0.97690217391304346</v>
      </c>
    </row>
    <row r="789" spans="1:3">
      <c r="A789">
        <v>429.6220703125</v>
      </c>
      <c r="B789">
        <v>0</v>
      </c>
      <c r="C789" s="4">
        <v>0.97690217391304346</v>
      </c>
    </row>
    <row r="790" spans="1:3">
      <c r="A790">
        <v>430.16796875</v>
      </c>
      <c r="B790">
        <v>0</v>
      </c>
      <c r="C790" s="4">
        <v>0.97690217391304346</v>
      </c>
    </row>
    <row r="791" spans="1:3">
      <c r="A791">
        <v>430.7138671875</v>
      </c>
      <c r="B791">
        <v>0</v>
      </c>
      <c r="C791" s="4">
        <v>0.97690217391304346</v>
      </c>
    </row>
    <row r="792" spans="1:3">
      <c r="A792">
        <v>431.259765625</v>
      </c>
      <c r="B792">
        <v>0</v>
      </c>
      <c r="C792" s="4">
        <v>0.97690217391304346</v>
      </c>
    </row>
    <row r="793" spans="1:3">
      <c r="A793">
        <v>431.8056640625</v>
      </c>
      <c r="B793">
        <v>0</v>
      </c>
      <c r="C793" s="4">
        <v>0.97690217391304346</v>
      </c>
    </row>
    <row r="794" spans="1:3">
      <c r="A794">
        <v>432.3515625</v>
      </c>
      <c r="B794">
        <v>0</v>
      </c>
      <c r="C794" s="4">
        <v>0.97690217391304346</v>
      </c>
    </row>
    <row r="795" spans="1:3">
      <c r="A795">
        <v>432.8974609375</v>
      </c>
      <c r="B795">
        <v>0</v>
      </c>
      <c r="C795" s="4">
        <v>0.97690217391304346</v>
      </c>
    </row>
    <row r="796" spans="1:3">
      <c r="A796">
        <v>433.443359375</v>
      </c>
      <c r="B796">
        <v>0</v>
      </c>
      <c r="C796" s="4">
        <v>0.97690217391304346</v>
      </c>
    </row>
    <row r="797" spans="1:3">
      <c r="A797">
        <v>433.9892578125</v>
      </c>
      <c r="B797">
        <v>0</v>
      </c>
      <c r="C797" s="4">
        <v>0.97690217391304346</v>
      </c>
    </row>
    <row r="798" spans="1:3">
      <c r="A798">
        <v>434.53515625</v>
      </c>
      <c r="B798">
        <v>0</v>
      </c>
      <c r="C798" s="4">
        <v>0.97690217391304346</v>
      </c>
    </row>
    <row r="799" spans="1:3">
      <c r="A799">
        <v>435.0810546875</v>
      </c>
      <c r="B799">
        <v>1</v>
      </c>
      <c r="C799" s="4">
        <v>0.97826086956521741</v>
      </c>
    </row>
    <row r="800" spans="1:3">
      <c r="A800">
        <v>435.626953125</v>
      </c>
      <c r="B800">
        <v>0</v>
      </c>
      <c r="C800" s="4">
        <v>0.97826086956521741</v>
      </c>
    </row>
    <row r="801" spans="1:3">
      <c r="A801">
        <v>436.1728515625</v>
      </c>
      <c r="B801">
        <v>1</v>
      </c>
      <c r="C801" s="4">
        <v>0.97961956521739135</v>
      </c>
    </row>
    <row r="802" spans="1:3">
      <c r="A802">
        <v>436.71875</v>
      </c>
      <c r="B802">
        <v>0</v>
      </c>
      <c r="C802" s="4">
        <v>0.97961956521739135</v>
      </c>
    </row>
    <row r="803" spans="1:3">
      <c r="A803">
        <v>437.2646484375</v>
      </c>
      <c r="B803">
        <v>0</v>
      </c>
      <c r="C803" s="4">
        <v>0.97961956521739135</v>
      </c>
    </row>
    <row r="804" spans="1:3">
      <c r="A804">
        <v>437.810546875</v>
      </c>
      <c r="B804">
        <v>0</v>
      </c>
      <c r="C804" s="4">
        <v>0.97961956521739135</v>
      </c>
    </row>
    <row r="805" spans="1:3">
      <c r="A805">
        <v>438.3564453125</v>
      </c>
      <c r="B805">
        <v>0</v>
      </c>
      <c r="C805" s="4">
        <v>0.97961956521739135</v>
      </c>
    </row>
    <row r="806" spans="1:3">
      <c r="A806">
        <v>438.90234375</v>
      </c>
      <c r="B806">
        <v>0</v>
      </c>
      <c r="C806" s="4">
        <v>0.97961956521739135</v>
      </c>
    </row>
    <row r="807" spans="1:3">
      <c r="A807">
        <v>439.4482421875</v>
      </c>
      <c r="B807">
        <v>0</v>
      </c>
      <c r="C807" s="4">
        <v>0.97961956521739135</v>
      </c>
    </row>
    <row r="808" spans="1:3">
      <c r="A808">
        <v>439.994140625</v>
      </c>
      <c r="B808">
        <v>0</v>
      </c>
      <c r="C808" s="4">
        <v>0.97961956521739135</v>
      </c>
    </row>
    <row r="809" spans="1:3">
      <c r="A809">
        <v>440.5400390625</v>
      </c>
      <c r="B809">
        <v>0</v>
      </c>
      <c r="C809" s="4">
        <v>0.97961956521739135</v>
      </c>
    </row>
    <row r="810" spans="1:3">
      <c r="A810">
        <v>441.0859375</v>
      </c>
      <c r="B810">
        <v>0</v>
      </c>
      <c r="C810" s="4">
        <v>0.97961956521739135</v>
      </c>
    </row>
    <row r="811" spans="1:3">
      <c r="A811">
        <v>441.6318359375</v>
      </c>
      <c r="B811">
        <v>0</v>
      </c>
      <c r="C811" s="4">
        <v>0.97961956521739135</v>
      </c>
    </row>
    <row r="812" spans="1:3">
      <c r="A812">
        <v>442.177734375</v>
      </c>
      <c r="B812">
        <v>0</v>
      </c>
      <c r="C812" s="4">
        <v>0.97961956521739135</v>
      </c>
    </row>
    <row r="813" spans="1:3">
      <c r="A813">
        <v>442.7236328125</v>
      </c>
      <c r="B813">
        <v>0</v>
      </c>
      <c r="C813" s="4">
        <v>0.97961956521739135</v>
      </c>
    </row>
    <row r="814" spans="1:3">
      <c r="A814">
        <v>443.26953125</v>
      </c>
      <c r="B814">
        <v>0</v>
      </c>
      <c r="C814" s="4">
        <v>0.97961956521739135</v>
      </c>
    </row>
    <row r="815" spans="1:3">
      <c r="A815">
        <v>443.8154296875</v>
      </c>
      <c r="B815">
        <v>0</v>
      </c>
      <c r="C815" s="4">
        <v>0.97961956521739135</v>
      </c>
    </row>
    <row r="816" spans="1:3">
      <c r="A816">
        <v>444.361328125</v>
      </c>
      <c r="B816">
        <v>0</v>
      </c>
      <c r="C816" s="4">
        <v>0.97961956521739135</v>
      </c>
    </row>
    <row r="817" spans="1:3">
      <c r="A817">
        <v>444.9072265625</v>
      </c>
      <c r="B817">
        <v>0</v>
      </c>
      <c r="C817" s="4">
        <v>0.97961956521739135</v>
      </c>
    </row>
    <row r="818" spans="1:3">
      <c r="A818">
        <v>445.453125</v>
      </c>
      <c r="B818">
        <v>0</v>
      </c>
      <c r="C818" s="4">
        <v>0.97961956521739135</v>
      </c>
    </row>
    <row r="819" spans="1:3">
      <c r="A819">
        <v>445.9990234375</v>
      </c>
      <c r="B819">
        <v>0</v>
      </c>
      <c r="C819" s="4">
        <v>0.97961956521739135</v>
      </c>
    </row>
    <row r="820" spans="1:3">
      <c r="A820">
        <v>446.544921875</v>
      </c>
      <c r="B820">
        <v>0</v>
      </c>
      <c r="C820" s="4">
        <v>0.97961956521739135</v>
      </c>
    </row>
    <row r="821" spans="1:3">
      <c r="A821">
        <v>447.0908203125</v>
      </c>
      <c r="B821">
        <v>0</v>
      </c>
      <c r="C821" s="4">
        <v>0.97961956521739135</v>
      </c>
    </row>
    <row r="822" spans="1:3">
      <c r="A822">
        <v>447.63671875</v>
      </c>
      <c r="B822">
        <v>0</v>
      </c>
      <c r="C822" s="4">
        <v>0.97961956521739135</v>
      </c>
    </row>
    <row r="823" spans="1:3">
      <c r="A823">
        <v>448.1826171875</v>
      </c>
      <c r="B823">
        <v>0</v>
      </c>
      <c r="C823" s="4">
        <v>0.97961956521739135</v>
      </c>
    </row>
    <row r="824" spans="1:3">
      <c r="A824">
        <v>448.728515625</v>
      </c>
      <c r="B824">
        <v>0</v>
      </c>
      <c r="C824" s="4">
        <v>0.97961956521739135</v>
      </c>
    </row>
    <row r="825" spans="1:3">
      <c r="A825">
        <v>449.2744140625</v>
      </c>
      <c r="B825">
        <v>0</v>
      </c>
      <c r="C825" s="4">
        <v>0.97961956521739135</v>
      </c>
    </row>
    <row r="826" spans="1:3">
      <c r="A826">
        <v>449.8203125</v>
      </c>
      <c r="B826">
        <v>0</v>
      </c>
      <c r="C826" s="4">
        <v>0.97961956521739135</v>
      </c>
    </row>
    <row r="827" spans="1:3">
      <c r="A827">
        <v>450.3662109375</v>
      </c>
      <c r="B827">
        <v>0</v>
      </c>
      <c r="C827" s="4">
        <v>0.97961956521739135</v>
      </c>
    </row>
    <row r="828" spans="1:3">
      <c r="A828">
        <v>450.912109375</v>
      </c>
      <c r="B828">
        <v>0</v>
      </c>
      <c r="C828" s="4">
        <v>0.97961956521739135</v>
      </c>
    </row>
    <row r="829" spans="1:3">
      <c r="A829">
        <v>451.4580078125</v>
      </c>
      <c r="B829">
        <v>2</v>
      </c>
      <c r="C829" s="4">
        <v>0.98233695652173914</v>
      </c>
    </row>
    <row r="830" spans="1:3">
      <c r="A830">
        <v>452.00390625</v>
      </c>
      <c r="B830">
        <v>0</v>
      </c>
      <c r="C830" s="4">
        <v>0.98233695652173914</v>
      </c>
    </row>
    <row r="831" spans="1:3">
      <c r="A831">
        <v>452.5498046875</v>
      </c>
      <c r="B831">
        <v>0</v>
      </c>
      <c r="C831" s="4">
        <v>0.98233695652173914</v>
      </c>
    </row>
    <row r="832" spans="1:3">
      <c r="A832">
        <v>453.095703125</v>
      </c>
      <c r="B832">
        <v>0</v>
      </c>
      <c r="C832" s="4">
        <v>0.98233695652173914</v>
      </c>
    </row>
    <row r="833" spans="1:3">
      <c r="A833">
        <v>453.6416015625</v>
      </c>
      <c r="B833">
        <v>0</v>
      </c>
      <c r="C833" s="4">
        <v>0.98233695652173914</v>
      </c>
    </row>
    <row r="834" spans="1:3">
      <c r="A834">
        <v>454.1875</v>
      </c>
      <c r="B834">
        <v>0</v>
      </c>
      <c r="C834" s="4">
        <v>0.98233695652173914</v>
      </c>
    </row>
    <row r="835" spans="1:3">
      <c r="A835">
        <v>454.7333984375</v>
      </c>
      <c r="B835">
        <v>0</v>
      </c>
      <c r="C835" s="4">
        <v>0.98233695652173914</v>
      </c>
    </row>
    <row r="836" spans="1:3">
      <c r="A836">
        <v>455.279296875</v>
      </c>
      <c r="B836">
        <v>1</v>
      </c>
      <c r="C836" s="4">
        <v>0.98369565217391308</v>
      </c>
    </row>
    <row r="837" spans="1:3">
      <c r="A837">
        <v>455.8251953125</v>
      </c>
      <c r="B837">
        <v>0</v>
      </c>
      <c r="C837" s="4">
        <v>0.98369565217391308</v>
      </c>
    </row>
    <row r="838" spans="1:3">
      <c r="A838">
        <v>456.37109375</v>
      </c>
      <c r="B838">
        <v>1</v>
      </c>
      <c r="C838" s="4">
        <v>0.98505434782608692</v>
      </c>
    </row>
    <row r="839" spans="1:3">
      <c r="A839">
        <v>456.9169921875</v>
      </c>
      <c r="B839">
        <v>0</v>
      </c>
      <c r="C839" s="4">
        <v>0.98505434782608692</v>
      </c>
    </row>
    <row r="840" spans="1:3">
      <c r="A840">
        <v>457.462890625</v>
      </c>
      <c r="B840">
        <v>0</v>
      </c>
      <c r="C840" s="4">
        <v>0.98505434782608692</v>
      </c>
    </row>
    <row r="841" spans="1:3">
      <c r="A841">
        <v>458.0087890625</v>
      </c>
      <c r="B841">
        <v>0</v>
      </c>
      <c r="C841" s="4">
        <v>0.98505434782608692</v>
      </c>
    </row>
    <row r="842" spans="1:3">
      <c r="A842">
        <v>458.5546875</v>
      </c>
      <c r="B842">
        <v>0</v>
      </c>
      <c r="C842" s="4">
        <v>0.98505434782608692</v>
      </c>
    </row>
    <row r="843" spans="1:3">
      <c r="A843">
        <v>459.1005859375</v>
      </c>
      <c r="B843">
        <v>0</v>
      </c>
      <c r="C843" s="4">
        <v>0.98505434782608692</v>
      </c>
    </row>
    <row r="844" spans="1:3">
      <c r="A844">
        <v>459.646484375</v>
      </c>
      <c r="B844">
        <v>0</v>
      </c>
      <c r="C844" s="4">
        <v>0.98505434782608692</v>
      </c>
    </row>
    <row r="845" spans="1:3">
      <c r="A845">
        <v>460.1923828125</v>
      </c>
      <c r="B845">
        <v>0</v>
      </c>
      <c r="C845" s="4">
        <v>0.98505434782608692</v>
      </c>
    </row>
    <row r="846" spans="1:3">
      <c r="A846">
        <v>460.73828125</v>
      </c>
      <c r="B846">
        <v>0</v>
      </c>
      <c r="C846" s="4">
        <v>0.98505434782608692</v>
      </c>
    </row>
    <row r="847" spans="1:3">
      <c r="A847">
        <v>461.2841796875</v>
      </c>
      <c r="B847">
        <v>1</v>
      </c>
      <c r="C847" s="4">
        <v>0.98641304347826086</v>
      </c>
    </row>
    <row r="848" spans="1:3">
      <c r="A848">
        <v>461.830078125</v>
      </c>
      <c r="B848">
        <v>0</v>
      </c>
      <c r="C848" s="4">
        <v>0.98641304347826086</v>
      </c>
    </row>
    <row r="849" spans="1:3">
      <c r="A849">
        <v>462.3759765625</v>
      </c>
      <c r="B849">
        <v>0</v>
      </c>
      <c r="C849" s="4">
        <v>0.98641304347826086</v>
      </c>
    </row>
    <row r="850" spans="1:3">
      <c r="A850">
        <v>462.921875</v>
      </c>
      <c r="B850">
        <v>0</v>
      </c>
      <c r="C850" s="4">
        <v>0.98641304347826086</v>
      </c>
    </row>
    <row r="851" spans="1:3">
      <c r="A851">
        <v>463.4677734375</v>
      </c>
      <c r="B851">
        <v>0</v>
      </c>
      <c r="C851" s="4">
        <v>0.98641304347826086</v>
      </c>
    </row>
    <row r="852" spans="1:3">
      <c r="A852">
        <v>464.013671875</v>
      </c>
      <c r="B852">
        <v>0</v>
      </c>
      <c r="C852" s="4">
        <v>0.98641304347826086</v>
      </c>
    </row>
    <row r="853" spans="1:3">
      <c r="A853">
        <v>464.5595703125</v>
      </c>
      <c r="B853">
        <v>0</v>
      </c>
      <c r="C853" s="4">
        <v>0.98641304347826086</v>
      </c>
    </row>
    <row r="854" spans="1:3">
      <c r="A854">
        <v>465.10546875</v>
      </c>
      <c r="B854">
        <v>0</v>
      </c>
      <c r="C854" s="4">
        <v>0.98641304347826086</v>
      </c>
    </row>
    <row r="855" spans="1:3">
      <c r="A855">
        <v>465.6513671875</v>
      </c>
      <c r="B855">
        <v>0</v>
      </c>
      <c r="C855" s="4">
        <v>0.98641304347826086</v>
      </c>
    </row>
    <row r="856" spans="1:3">
      <c r="A856">
        <v>466.197265625</v>
      </c>
      <c r="B856">
        <v>0</v>
      </c>
      <c r="C856" s="4">
        <v>0.98641304347826086</v>
      </c>
    </row>
    <row r="857" spans="1:3">
      <c r="A857">
        <v>466.7431640625</v>
      </c>
      <c r="B857">
        <v>0</v>
      </c>
      <c r="C857" s="4">
        <v>0.98641304347826086</v>
      </c>
    </row>
    <row r="858" spans="1:3">
      <c r="A858">
        <v>467.2890625</v>
      </c>
      <c r="B858">
        <v>0</v>
      </c>
      <c r="C858" s="4">
        <v>0.98641304347826086</v>
      </c>
    </row>
    <row r="859" spans="1:3">
      <c r="A859">
        <v>467.8349609375</v>
      </c>
      <c r="B859">
        <v>0</v>
      </c>
      <c r="C859" s="4">
        <v>0.98641304347826086</v>
      </c>
    </row>
    <row r="860" spans="1:3">
      <c r="A860">
        <v>468.380859375</v>
      </c>
      <c r="B860">
        <v>1</v>
      </c>
      <c r="C860" s="4">
        <v>0.98777173913043481</v>
      </c>
    </row>
    <row r="861" spans="1:3">
      <c r="A861">
        <v>468.9267578125</v>
      </c>
      <c r="B861">
        <v>0</v>
      </c>
      <c r="C861" s="4">
        <v>0.98777173913043481</v>
      </c>
    </row>
    <row r="862" spans="1:3">
      <c r="A862">
        <v>469.47265625</v>
      </c>
      <c r="B862">
        <v>0</v>
      </c>
      <c r="C862" s="4">
        <v>0.98777173913043481</v>
      </c>
    </row>
    <row r="863" spans="1:3">
      <c r="A863">
        <v>470.0185546875</v>
      </c>
      <c r="B863">
        <v>0</v>
      </c>
      <c r="C863" s="4">
        <v>0.98777173913043481</v>
      </c>
    </row>
    <row r="864" spans="1:3">
      <c r="A864">
        <v>470.564453125</v>
      </c>
      <c r="B864">
        <v>0</v>
      </c>
      <c r="C864" s="4">
        <v>0.98777173913043481</v>
      </c>
    </row>
    <row r="865" spans="1:3">
      <c r="A865">
        <v>471.1103515625</v>
      </c>
      <c r="B865">
        <v>0</v>
      </c>
      <c r="C865" s="4">
        <v>0.98777173913043481</v>
      </c>
    </row>
    <row r="866" spans="1:3">
      <c r="A866">
        <v>471.65625</v>
      </c>
      <c r="B866">
        <v>0</v>
      </c>
      <c r="C866" s="4">
        <v>0.98777173913043481</v>
      </c>
    </row>
    <row r="867" spans="1:3">
      <c r="A867">
        <v>472.2021484375</v>
      </c>
      <c r="B867">
        <v>0</v>
      </c>
      <c r="C867" s="4">
        <v>0.98777173913043481</v>
      </c>
    </row>
    <row r="868" spans="1:3">
      <c r="A868">
        <v>472.748046875</v>
      </c>
      <c r="B868">
        <v>0</v>
      </c>
      <c r="C868" s="4">
        <v>0.98777173913043481</v>
      </c>
    </row>
    <row r="869" spans="1:3">
      <c r="A869">
        <v>473.2939453125</v>
      </c>
      <c r="B869">
        <v>0</v>
      </c>
      <c r="C869" s="4">
        <v>0.98777173913043481</v>
      </c>
    </row>
    <row r="870" spans="1:3">
      <c r="A870">
        <v>473.83984375</v>
      </c>
      <c r="B870">
        <v>0</v>
      </c>
      <c r="C870" s="4">
        <v>0.98777173913043481</v>
      </c>
    </row>
    <row r="871" spans="1:3">
      <c r="A871">
        <v>474.3857421875</v>
      </c>
      <c r="B871">
        <v>0</v>
      </c>
      <c r="C871" s="4">
        <v>0.98777173913043481</v>
      </c>
    </row>
    <row r="872" spans="1:3">
      <c r="A872">
        <v>474.931640625</v>
      </c>
      <c r="B872">
        <v>0</v>
      </c>
      <c r="C872" s="4">
        <v>0.98777173913043481</v>
      </c>
    </row>
    <row r="873" spans="1:3">
      <c r="A873">
        <v>475.4775390625</v>
      </c>
      <c r="B873">
        <v>0</v>
      </c>
      <c r="C873" s="4">
        <v>0.98777173913043481</v>
      </c>
    </row>
    <row r="874" spans="1:3">
      <c r="A874">
        <v>476.0234375</v>
      </c>
      <c r="B874">
        <v>1</v>
      </c>
      <c r="C874" s="4">
        <v>0.98913043478260865</v>
      </c>
    </row>
    <row r="875" spans="1:3">
      <c r="A875">
        <v>476.5693359375</v>
      </c>
      <c r="B875">
        <v>0</v>
      </c>
      <c r="C875" s="4">
        <v>0.98913043478260865</v>
      </c>
    </row>
    <row r="876" spans="1:3">
      <c r="A876">
        <v>477.115234375</v>
      </c>
      <c r="B876">
        <v>0</v>
      </c>
      <c r="C876" s="4">
        <v>0.98913043478260865</v>
      </c>
    </row>
    <row r="877" spans="1:3">
      <c r="A877">
        <v>477.6611328125</v>
      </c>
      <c r="B877">
        <v>0</v>
      </c>
      <c r="C877" s="4">
        <v>0.98913043478260865</v>
      </c>
    </row>
    <row r="878" spans="1:3">
      <c r="A878">
        <v>478.20703125</v>
      </c>
      <c r="B878">
        <v>0</v>
      </c>
      <c r="C878" s="4">
        <v>0.98913043478260865</v>
      </c>
    </row>
    <row r="879" spans="1:3">
      <c r="A879">
        <v>478.7529296875</v>
      </c>
      <c r="B879">
        <v>0</v>
      </c>
      <c r="C879" s="4">
        <v>0.98913043478260865</v>
      </c>
    </row>
    <row r="880" spans="1:3">
      <c r="A880">
        <v>479.298828125</v>
      </c>
      <c r="B880">
        <v>1</v>
      </c>
      <c r="C880" s="4">
        <v>0.99048913043478259</v>
      </c>
    </row>
    <row r="881" spans="1:3">
      <c r="A881">
        <v>479.8447265625</v>
      </c>
      <c r="B881">
        <v>0</v>
      </c>
      <c r="C881" s="4">
        <v>0.99048913043478259</v>
      </c>
    </row>
    <row r="882" spans="1:3">
      <c r="A882">
        <v>480.390625</v>
      </c>
      <c r="B882">
        <v>0</v>
      </c>
      <c r="C882" s="4">
        <v>0.99048913043478259</v>
      </c>
    </row>
    <row r="883" spans="1:3">
      <c r="A883">
        <v>480.9365234375</v>
      </c>
      <c r="B883">
        <v>0</v>
      </c>
      <c r="C883" s="4">
        <v>0.99048913043478259</v>
      </c>
    </row>
    <row r="884" spans="1:3">
      <c r="A884">
        <v>481.482421875</v>
      </c>
      <c r="B884">
        <v>0</v>
      </c>
      <c r="C884" s="4">
        <v>0.99048913043478259</v>
      </c>
    </row>
    <row r="885" spans="1:3">
      <c r="A885">
        <v>482.0283203125</v>
      </c>
      <c r="B885">
        <v>0</v>
      </c>
      <c r="C885" s="4">
        <v>0.99048913043478259</v>
      </c>
    </row>
    <row r="886" spans="1:3">
      <c r="A886">
        <v>482.57421875</v>
      </c>
      <c r="B886">
        <v>0</v>
      </c>
      <c r="C886" s="4">
        <v>0.99048913043478259</v>
      </c>
    </row>
    <row r="887" spans="1:3">
      <c r="A887">
        <v>483.1201171875</v>
      </c>
      <c r="B887">
        <v>0</v>
      </c>
      <c r="C887" s="4">
        <v>0.99048913043478259</v>
      </c>
    </row>
    <row r="888" spans="1:3">
      <c r="A888">
        <v>483.666015625</v>
      </c>
      <c r="B888">
        <v>0</v>
      </c>
      <c r="C888" s="4">
        <v>0.99048913043478259</v>
      </c>
    </row>
    <row r="889" spans="1:3">
      <c r="A889">
        <v>484.2119140625</v>
      </c>
      <c r="B889">
        <v>0</v>
      </c>
      <c r="C889" s="4">
        <v>0.99048913043478259</v>
      </c>
    </row>
    <row r="890" spans="1:3">
      <c r="A890">
        <v>484.7578125</v>
      </c>
      <c r="B890">
        <v>0</v>
      </c>
      <c r="C890" s="4">
        <v>0.99048913043478259</v>
      </c>
    </row>
    <row r="891" spans="1:3">
      <c r="A891">
        <v>485.3037109375</v>
      </c>
      <c r="B891">
        <v>0</v>
      </c>
      <c r="C891" s="4">
        <v>0.99048913043478259</v>
      </c>
    </row>
    <row r="892" spans="1:3">
      <c r="A892">
        <v>485.849609375</v>
      </c>
      <c r="B892">
        <v>0</v>
      </c>
      <c r="C892" s="4">
        <v>0.99048913043478259</v>
      </c>
    </row>
    <row r="893" spans="1:3">
      <c r="A893">
        <v>486.3955078125</v>
      </c>
      <c r="B893">
        <v>0</v>
      </c>
      <c r="C893" s="4">
        <v>0.99048913043478259</v>
      </c>
    </row>
    <row r="894" spans="1:3">
      <c r="A894">
        <v>486.94140625</v>
      </c>
      <c r="B894">
        <v>0</v>
      </c>
      <c r="C894" s="4">
        <v>0.99048913043478259</v>
      </c>
    </row>
    <row r="895" spans="1:3">
      <c r="A895">
        <v>487.4873046875</v>
      </c>
      <c r="B895">
        <v>1</v>
      </c>
      <c r="C895" s="4">
        <v>0.99184782608695654</v>
      </c>
    </row>
    <row r="896" spans="1:3">
      <c r="A896">
        <v>488.033203125</v>
      </c>
      <c r="B896">
        <v>0</v>
      </c>
      <c r="C896" s="4">
        <v>0.99184782608695654</v>
      </c>
    </row>
    <row r="897" spans="1:3">
      <c r="A897">
        <v>488.5791015625</v>
      </c>
      <c r="B897">
        <v>0</v>
      </c>
      <c r="C897" s="4">
        <v>0.99184782608695654</v>
      </c>
    </row>
    <row r="898" spans="1:3">
      <c r="A898">
        <v>489.125</v>
      </c>
      <c r="B898">
        <v>0</v>
      </c>
      <c r="C898" s="4">
        <v>0.99184782608695654</v>
      </c>
    </row>
    <row r="899" spans="1:3">
      <c r="A899">
        <v>489.6708984375</v>
      </c>
      <c r="B899">
        <v>0</v>
      </c>
      <c r="C899" s="4">
        <v>0.99184782608695654</v>
      </c>
    </row>
    <row r="900" spans="1:3">
      <c r="A900">
        <v>490.216796875</v>
      </c>
      <c r="B900">
        <v>0</v>
      </c>
      <c r="C900" s="4">
        <v>0.99184782608695654</v>
      </c>
    </row>
    <row r="901" spans="1:3">
      <c r="A901">
        <v>490.7626953125</v>
      </c>
      <c r="B901">
        <v>0</v>
      </c>
      <c r="C901" s="4">
        <v>0.99184782608695654</v>
      </c>
    </row>
    <row r="902" spans="1:3">
      <c r="A902">
        <v>491.30859375</v>
      </c>
      <c r="B902">
        <v>0</v>
      </c>
      <c r="C902" s="4">
        <v>0.99184782608695654</v>
      </c>
    </row>
    <row r="903" spans="1:3">
      <c r="A903">
        <v>491.8544921875</v>
      </c>
      <c r="B903">
        <v>0</v>
      </c>
      <c r="C903" s="4">
        <v>0.99184782608695654</v>
      </c>
    </row>
    <row r="904" spans="1:3">
      <c r="A904">
        <v>492.400390625</v>
      </c>
      <c r="B904">
        <v>0</v>
      </c>
      <c r="C904" s="4">
        <v>0.99184782608695654</v>
      </c>
    </row>
    <row r="905" spans="1:3">
      <c r="A905">
        <v>492.9462890625</v>
      </c>
      <c r="B905">
        <v>0</v>
      </c>
      <c r="C905" s="4">
        <v>0.99184782608695654</v>
      </c>
    </row>
    <row r="906" spans="1:3">
      <c r="A906">
        <v>493.4921875</v>
      </c>
      <c r="B906">
        <v>0</v>
      </c>
      <c r="C906" s="4">
        <v>0.99184782608695654</v>
      </c>
    </row>
    <row r="907" spans="1:3">
      <c r="A907">
        <v>494.0380859375</v>
      </c>
      <c r="B907">
        <v>0</v>
      </c>
      <c r="C907" s="4">
        <v>0.99184782608695654</v>
      </c>
    </row>
    <row r="908" spans="1:3">
      <c r="A908">
        <v>494.583984375</v>
      </c>
      <c r="B908">
        <v>0</v>
      </c>
      <c r="C908" s="4">
        <v>0.99184782608695654</v>
      </c>
    </row>
    <row r="909" spans="1:3">
      <c r="A909">
        <v>495.1298828125</v>
      </c>
      <c r="B909">
        <v>0</v>
      </c>
      <c r="C909" s="4">
        <v>0.99184782608695654</v>
      </c>
    </row>
    <row r="910" spans="1:3">
      <c r="A910">
        <v>495.67578125</v>
      </c>
      <c r="B910">
        <v>0</v>
      </c>
      <c r="C910" s="4">
        <v>0.99184782608695654</v>
      </c>
    </row>
    <row r="911" spans="1:3">
      <c r="A911">
        <v>496.2216796875</v>
      </c>
      <c r="B911">
        <v>0</v>
      </c>
      <c r="C911" s="4">
        <v>0.99184782608695654</v>
      </c>
    </row>
    <row r="912" spans="1:3">
      <c r="A912">
        <v>496.767578125</v>
      </c>
      <c r="B912">
        <v>0</v>
      </c>
      <c r="C912" s="4">
        <v>0.99184782608695654</v>
      </c>
    </row>
    <row r="913" spans="1:3">
      <c r="A913">
        <v>497.3134765625</v>
      </c>
      <c r="B913">
        <v>0</v>
      </c>
      <c r="C913" s="4">
        <v>0.99184782608695654</v>
      </c>
    </row>
    <row r="914" spans="1:3">
      <c r="A914">
        <v>497.859375</v>
      </c>
      <c r="B914">
        <v>0</v>
      </c>
      <c r="C914" s="4">
        <v>0.99184782608695654</v>
      </c>
    </row>
    <row r="915" spans="1:3">
      <c r="A915">
        <v>498.4052734375</v>
      </c>
      <c r="B915">
        <v>1</v>
      </c>
      <c r="C915" s="4">
        <v>0.99320652173913049</v>
      </c>
    </row>
    <row r="916" spans="1:3">
      <c r="A916">
        <v>498.951171875</v>
      </c>
      <c r="B916">
        <v>0</v>
      </c>
      <c r="C916" s="4">
        <v>0.99320652173913049</v>
      </c>
    </row>
    <row r="917" spans="1:3">
      <c r="A917">
        <v>499.4970703125</v>
      </c>
      <c r="B917">
        <v>0</v>
      </c>
      <c r="C917" s="4">
        <v>0.99320652173913049</v>
      </c>
    </row>
    <row r="918" spans="1:3">
      <c r="A918">
        <v>500.04296875</v>
      </c>
      <c r="B918">
        <v>0</v>
      </c>
      <c r="C918" s="4">
        <v>0.99320652173913049</v>
      </c>
    </row>
    <row r="919" spans="1:3">
      <c r="A919">
        <v>500.5888671875</v>
      </c>
      <c r="B919">
        <v>0</v>
      </c>
      <c r="C919" s="4">
        <v>0.99320652173913049</v>
      </c>
    </row>
    <row r="920" spans="1:3">
      <c r="A920">
        <v>501.134765625</v>
      </c>
      <c r="B920">
        <v>0</v>
      </c>
      <c r="C920" s="4">
        <v>0.99320652173913049</v>
      </c>
    </row>
    <row r="921" spans="1:3">
      <c r="A921">
        <v>501.6806640625</v>
      </c>
      <c r="B921">
        <v>0</v>
      </c>
      <c r="C921" s="4">
        <v>0.99320652173913049</v>
      </c>
    </row>
    <row r="922" spans="1:3">
      <c r="A922">
        <v>502.2265625</v>
      </c>
      <c r="B922">
        <v>0</v>
      </c>
      <c r="C922" s="4">
        <v>0.99320652173913049</v>
      </c>
    </row>
    <row r="923" spans="1:3">
      <c r="A923">
        <v>502.7724609375</v>
      </c>
      <c r="B923">
        <v>0</v>
      </c>
      <c r="C923" s="4">
        <v>0.99320652173913049</v>
      </c>
    </row>
    <row r="924" spans="1:3">
      <c r="A924">
        <v>503.318359375</v>
      </c>
      <c r="B924">
        <v>0</v>
      </c>
      <c r="C924" s="4">
        <v>0.99320652173913049</v>
      </c>
    </row>
    <row r="925" spans="1:3">
      <c r="A925">
        <v>503.8642578125</v>
      </c>
      <c r="B925">
        <v>0</v>
      </c>
      <c r="C925" s="4">
        <v>0.99320652173913049</v>
      </c>
    </row>
    <row r="926" spans="1:3">
      <c r="A926">
        <v>504.41015625</v>
      </c>
      <c r="B926">
        <v>1</v>
      </c>
      <c r="C926" s="4">
        <v>0.99456521739130432</v>
      </c>
    </row>
    <row r="927" spans="1:3">
      <c r="A927">
        <v>504.9560546875</v>
      </c>
      <c r="B927">
        <v>0</v>
      </c>
      <c r="C927" s="4">
        <v>0.99456521739130432</v>
      </c>
    </row>
    <row r="928" spans="1:3">
      <c r="A928">
        <v>505.501953125</v>
      </c>
      <c r="B928">
        <v>0</v>
      </c>
      <c r="C928" s="4">
        <v>0.99456521739130432</v>
      </c>
    </row>
    <row r="929" spans="1:3">
      <c r="A929">
        <v>506.0478515625</v>
      </c>
      <c r="B929">
        <v>1</v>
      </c>
      <c r="C929" s="4">
        <v>0.99592391304347827</v>
      </c>
    </row>
    <row r="930" spans="1:3">
      <c r="A930">
        <v>506.59375</v>
      </c>
      <c r="B930">
        <v>0</v>
      </c>
      <c r="C930" s="4">
        <v>0.99592391304347827</v>
      </c>
    </row>
    <row r="931" spans="1:3">
      <c r="A931">
        <v>507.1396484375</v>
      </c>
      <c r="B931">
        <v>0</v>
      </c>
      <c r="C931" s="4">
        <v>0.99592391304347827</v>
      </c>
    </row>
    <row r="932" spans="1:3">
      <c r="A932">
        <v>507.685546875</v>
      </c>
      <c r="B932">
        <v>0</v>
      </c>
      <c r="C932" s="4">
        <v>0.99592391304347827</v>
      </c>
    </row>
    <row r="933" spans="1:3">
      <c r="A933">
        <v>508.2314453125</v>
      </c>
      <c r="B933">
        <v>1</v>
      </c>
      <c r="C933" s="4">
        <v>0.99728260869565222</v>
      </c>
    </row>
    <row r="934" spans="1:3">
      <c r="A934">
        <v>508.77734375</v>
      </c>
      <c r="B934">
        <v>0</v>
      </c>
      <c r="C934" s="4">
        <v>0.99728260869565222</v>
      </c>
    </row>
    <row r="935" spans="1:3">
      <c r="A935">
        <v>509.3232421875</v>
      </c>
      <c r="B935">
        <v>0</v>
      </c>
      <c r="C935" s="4">
        <v>0.99728260869565222</v>
      </c>
    </row>
    <row r="936" spans="1:3">
      <c r="A936">
        <v>509.869140625</v>
      </c>
      <c r="B936">
        <v>0</v>
      </c>
      <c r="C936" s="4">
        <v>0.99728260869565222</v>
      </c>
    </row>
    <row r="937" spans="1:3">
      <c r="A937">
        <v>510.4150390625</v>
      </c>
      <c r="B937">
        <v>0</v>
      </c>
      <c r="C937" s="4">
        <v>0.99728260869565222</v>
      </c>
    </row>
    <row r="938" spans="1:3">
      <c r="A938">
        <v>510.9609375</v>
      </c>
      <c r="B938">
        <v>0</v>
      </c>
      <c r="C938" s="4">
        <v>0.99728260869565222</v>
      </c>
    </row>
    <row r="939" spans="1:3">
      <c r="A939">
        <v>511.5068359375</v>
      </c>
      <c r="B939">
        <v>0</v>
      </c>
      <c r="C939" s="4">
        <v>0.99728260869565222</v>
      </c>
    </row>
    <row r="940" spans="1:3">
      <c r="A940">
        <v>512.052734375</v>
      </c>
      <c r="B940">
        <v>0</v>
      </c>
      <c r="C940" s="4">
        <v>0.99728260869565222</v>
      </c>
    </row>
    <row r="941" spans="1:3">
      <c r="A941">
        <v>512.5986328125</v>
      </c>
      <c r="B941">
        <v>0</v>
      </c>
      <c r="C941" s="4">
        <v>0.99728260869565222</v>
      </c>
    </row>
    <row r="942" spans="1:3">
      <c r="A942">
        <v>513.14453125</v>
      </c>
      <c r="B942">
        <v>0</v>
      </c>
      <c r="C942" s="4">
        <v>0.99728260869565222</v>
      </c>
    </row>
    <row r="943" spans="1:3">
      <c r="A943">
        <v>513.6904296875</v>
      </c>
      <c r="B943">
        <v>0</v>
      </c>
      <c r="C943" s="4">
        <v>0.99728260869565222</v>
      </c>
    </row>
    <row r="944" spans="1:3">
      <c r="A944">
        <v>514.236328125</v>
      </c>
      <c r="B944">
        <v>0</v>
      </c>
      <c r="C944" s="4">
        <v>0.99728260869565222</v>
      </c>
    </row>
    <row r="945" spans="1:3">
      <c r="A945">
        <v>514.7822265625</v>
      </c>
      <c r="B945">
        <v>0</v>
      </c>
      <c r="C945" s="4">
        <v>0.99728260869565222</v>
      </c>
    </row>
    <row r="946" spans="1:3">
      <c r="A946">
        <v>515.328125</v>
      </c>
      <c r="B946">
        <v>0</v>
      </c>
      <c r="C946" s="4">
        <v>0.99728260869565222</v>
      </c>
    </row>
    <row r="947" spans="1:3">
      <c r="A947">
        <v>515.8740234375</v>
      </c>
      <c r="B947">
        <v>0</v>
      </c>
      <c r="C947" s="4">
        <v>0.99728260869565222</v>
      </c>
    </row>
    <row r="948" spans="1:3">
      <c r="A948">
        <v>516.419921875</v>
      </c>
      <c r="B948">
        <v>0</v>
      </c>
      <c r="C948" s="4">
        <v>0.99728260869565222</v>
      </c>
    </row>
    <row r="949" spans="1:3">
      <c r="A949">
        <v>516.9658203125</v>
      </c>
      <c r="B949">
        <v>0</v>
      </c>
      <c r="C949" s="4">
        <v>0.99728260869565222</v>
      </c>
    </row>
    <row r="950" spans="1:3">
      <c r="A950">
        <v>517.51171875</v>
      </c>
      <c r="B950">
        <v>0</v>
      </c>
      <c r="C950" s="4">
        <v>0.99728260869565222</v>
      </c>
    </row>
    <row r="951" spans="1:3">
      <c r="A951">
        <v>518.0576171875</v>
      </c>
      <c r="B951">
        <v>0</v>
      </c>
      <c r="C951" s="4">
        <v>0.99728260869565222</v>
      </c>
    </row>
    <row r="952" spans="1:3">
      <c r="A952">
        <v>518.603515625</v>
      </c>
      <c r="B952">
        <v>0</v>
      </c>
      <c r="C952" s="4">
        <v>0.99728260869565222</v>
      </c>
    </row>
    <row r="953" spans="1:3">
      <c r="A953">
        <v>519.1494140625</v>
      </c>
      <c r="B953">
        <v>0</v>
      </c>
      <c r="C953" s="4">
        <v>0.99728260869565222</v>
      </c>
    </row>
    <row r="954" spans="1:3">
      <c r="A954">
        <v>519.6953125</v>
      </c>
      <c r="B954">
        <v>0</v>
      </c>
      <c r="C954" s="4">
        <v>0.99728260869565222</v>
      </c>
    </row>
    <row r="955" spans="1:3">
      <c r="A955">
        <v>520.2412109375</v>
      </c>
      <c r="B955">
        <v>0</v>
      </c>
      <c r="C955" s="4">
        <v>0.99728260869565222</v>
      </c>
    </row>
    <row r="956" spans="1:3">
      <c r="A956">
        <v>520.787109375</v>
      </c>
      <c r="B956">
        <v>0</v>
      </c>
      <c r="C956" s="4">
        <v>0.99728260869565222</v>
      </c>
    </row>
    <row r="957" spans="1:3">
      <c r="A957">
        <v>521.3330078125</v>
      </c>
      <c r="B957">
        <v>0</v>
      </c>
      <c r="C957" s="4">
        <v>0.99728260869565222</v>
      </c>
    </row>
    <row r="958" spans="1:3">
      <c r="A958">
        <v>521.87890625</v>
      </c>
      <c r="B958">
        <v>0</v>
      </c>
      <c r="C958" s="4">
        <v>0.99728260869565222</v>
      </c>
    </row>
    <row r="959" spans="1:3">
      <c r="A959">
        <v>522.4248046875</v>
      </c>
      <c r="B959">
        <v>0</v>
      </c>
      <c r="C959" s="4">
        <v>0.99728260869565222</v>
      </c>
    </row>
    <row r="960" spans="1:3">
      <c r="A960">
        <v>522.970703125</v>
      </c>
      <c r="B960">
        <v>0</v>
      </c>
      <c r="C960" s="4">
        <v>0.99728260869565222</v>
      </c>
    </row>
    <row r="961" spans="1:3">
      <c r="A961">
        <v>523.5166015625</v>
      </c>
      <c r="B961">
        <v>0</v>
      </c>
      <c r="C961" s="4">
        <v>0.99728260869565222</v>
      </c>
    </row>
    <row r="962" spans="1:3">
      <c r="A962">
        <v>524.0625</v>
      </c>
      <c r="B962">
        <v>0</v>
      </c>
      <c r="C962" s="4">
        <v>0.99728260869565222</v>
      </c>
    </row>
    <row r="963" spans="1:3">
      <c r="A963">
        <v>524.6083984375</v>
      </c>
      <c r="B963">
        <v>0</v>
      </c>
      <c r="C963" s="4">
        <v>0.99728260869565222</v>
      </c>
    </row>
    <row r="964" spans="1:3">
      <c r="A964">
        <v>525.154296875</v>
      </c>
      <c r="B964">
        <v>0</v>
      </c>
      <c r="C964" s="4">
        <v>0.99728260869565222</v>
      </c>
    </row>
    <row r="965" spans="1:3">
      <c r="A965">
        <v>525.7001953125</v>
      </c>
      <c r="B965">
        <v>0</v>
      </c>
      <c r="C965" s="4">
        <v>0.99728260869565222</v>
      </c>
    </row>
    <row r="966" spans="1:3">
      <c r="A966">
        <v>526.24609375</v>
      </c>
      <c r="B966">
        <v>0</v>
      </c>
      <c r="C966" s="4">
        <v>0.99728260869565222</v>
      </c>
    </row>
    <row r="967" spans="1:3">
      <c r="A967">
        <v>526.7919921875</v>
      </c>
      <c r="B967">
        <v>0</v>
      </c>
      <c r="C967" s="4">
        <v>0.99728260869565222</v>
      </c>
    </row>
    <row r="968" spans="1:3">
      <c r="A968">
        <v>527.337890625</v>
      </c>
      <c r="B968">
        <v>1</v>
      </c>
      <c r="C968" s="4">
        <v>0.99864130434782605</v>
      </c>
    </row>
    <row r="969" spans="1:3">
      <c r="A969">
        <v>527.8837890625</v>
      </c>
      <c r="B969">
        <v>0</v>
      </c>
      <c r="C969" s="4">
        <v>0.99864130434782605</v>
      </c>
    </row>
    <row r="970" spans="1:3">
      <c r="A970">
        <v>528.4296875</v>
      </c>
      <c r="B970">
        <v>0</v>
      </c>
      <c r="C970" s="4">
        <v>0.99864130434782605</v>
      </c>
    </row>
    <row r="971" spans="1:3">
      <c r="A971">
        <v>528.9755859375</v>
      </c>
      <c r="B971">
        <v>0</v>
      </c>
      <c r="C971" s="4">
        <v>0.99864130434782605</v>
      </c>
    </row>
    <row r="972" spans="1:3">
      <c r="A972">
        <v>529.521484375</v>
      </c>
      <c r="B972">
        <v>0</v>
      </c>
      <c r="C972" s="4">
        <v>0.99864130434782605</v>
      </c>
    </row>
    <row r="973" spans="1:3">
      <c r="A973">
        <v>530.0673828125</v>
      </c>
      <c r="B973">
        <v>0</v>
      </c>
      <c r="C973" s="4">
        <v>0.99864130434782605</v>
      </c>
    </row>
    <row r="974" spans="1:3">
      <c r="A974">
        <v>530.61328125</v>
      </c>
      <c r="B974">
        <v>0</v>
      </c>
      <c r="C974" s="4">
        <v>0.99864130434782605</v>
      </c>
    </row>
    <row r="975" spans="1:3">
      <c r="A975">
        <v>531.1591796875</v>
      </c>
      <c r="B975">
        <v>0</v>
      </c>
      <c r="C975" s="4">
        <v>0.99864130434782605</v>
      </c>
    </row>
    <row r="976" spans="1:3">
      <c r="A976">
        <v>531.705078125</v>
      </c>
      <c r="B976">
        <v>0</v>
      </c>
      <c r="C976" s="4">
        <v>0.99864130434782605</v>
      </c>
    </row>
    <row r="977" spans="1:3">
      <c r="A977">
        <v>532.2509765625</v>
      </c>
      <c r="B977">
        <v>0</v>
      </c>
      <c r="C977" s="4">
        <v>0.99864130434782605</v>
      </c>
    </row>
    <row r="978" spans="1:3">
      <c r="A978">
        <v>532.796875</v>
      </c>
      <c r="B978">
        <v>0</v>
      </c>
      <c r="C978" s="4">
        <v>0.99864130434782605</v>
      </c>
    </row>
    <row r="979" spans="1:3">
      <c r="A979">
        <v>533.3427734375</v>
      </c>
      <c r="B979">
        <v>0</v>
      </c>
      <c r="C979" s="4">
        <v>0.99864130434782605</v>
      </c>
    </row>
    <row r="980" spans="1:3">
      <c r="A980">
        <v>533.888671875</v>
      </c>
      <c r="B980">
        <v>0</v>
      </c>
      <c r="C980" s="4">
        <v>0.99864130434782605</v>
      </c>
    </row>
    <row r="981" spans="1:3">
      <c r="A981">
        <v>534.4345703125</v>
      </c>
      <c r="B981">
        <v>0</v>
      </c>
      <c r="C981" s="4">
        <v>0.99864130434782605</v>
      </c>
    </row>
    <row r="982" spans="1:3">
      <c r="A982">
        <v>534.98046875</v>
      </c>
      <c r="B982">
        <v>0</v>
      </c>
      <c r="C982" s="4">
        <v>0.99864130434782605</v>
      </c>
    </row>
    <row r="983" spans="1:3">
      <c r="A983">
        <v>535.5263671875</v>
      </c>
      <c r="B983">
        <v>0</v>
      </c>
      <c r="C983" s="4">
        <v>0.99864130434782605</v>
      </c>
    </row>
    <row r="984" spans="1:3">
      <c r="A984">
        <v>536.072265625</v>
      </c>
      <c r="B984">
        <v>0</v>
      </c>
      <c r="C984" s="4">
        <v>0.99864130434782605</v>
      </c>
    </row>
    <row r="985" spans="1:3">
      <c r="A985">
        <v>536.6181640625</v>
      </c>
      <c r="B985">
        <v>0</v>
      </c>
      <c r="C985" s="4">
        <v>0.99864130434782605</v>
      </c>
    </row>
    <row r="986" spans="1:3">
      <c r="A986">
        <v>537.1640625</v>
      </c>
      <c r="B986">
        <v>0</v>
      </c>
      <c r="C986" s="4">
        <v>0.99864130434782605</v>
      </c>
    </row>
    <row r="987" spans="1:3">
      <c r="A987">
        <v>537.7099609375</v>
      </c>
      <c r="B987">
        <v>0</v>
      </c>
      <c r="C987" s="4">
        <v>0.99864130434782605</v>
      </c>
    </row>
    <row r="988" spans="1:3">
      <c r="A988">
        <v>538.255859375</v>
      </c>
      <c r="B988">
        <v>0</v>
      </c>
      <c r="C988" s="4">
        <v>0.99864130434782605</v>
      </c>
    </row>
    <row r="989" spans="1:3">
      <c r="A989">
        <v>538.8017578125</v>
      </c>
      <c r="B989">
        <v>0</v>
      </c>
      <c r="C989" s="4">
        <v>0.99864130434782605</v>
      </c>
    </row>
    <row r="990" spans="1:3">
      <c r="A990">
        <v>539.34765625</v>
      </c>
      <c r="B990">
        <v>0</v>
      </c>
      <c r="C990" s="4">
        <v>0.99864130434782605</v>
      </c>
    </row>
    <row r="991" spans="1:3">
      <c r="A991">
        <v>539.8935546875</v>
      </c>
      <c r="B991">
        <v>0</v>
      </c>
      <c r="C991" s="4">
        <v>0.99864130434782605</v>
      </c>
    </row>
    <row r="992" spans="1:3">
      <c r="A992">
        <v>540.439453125</v>
      </c>
      <c r="B992">
        <v>0</v>
      </c>
      <c r="C992" s="4">
        <v>0.99864130434782605</v>
      </c>
    </row>
    <row r="993" spans="1:3">
      <c r="A993">
        <v>540.9853515625</v>
      </c>
      <c r="B993">
        <v>0</v>
      </c>
      <c r="C993" s="4">
        <v>0.99864130434782605</v>
      </c>
    </row>
    <row r="994" spans="1:3">
      <c r="A994">
        <v>541.53125</v>
      </c>
      <c r="B994">
        <v>0</v>
      </c>
      <c r="C994" s="4">
        <v>0.99864130434782605</v>
      </c>
    </row>
    <row r="995" spans="1:3">
      <c r="A995">
        <v>542.0771484375</v>
      </c>
      <c r="B995">
        <v>0</v>
      </c>
      <c r="C995" s="4">
        <v>0.99864130434782605</v>
      </c>
    </row>
    <row r="996" spans="1:3">
      <c r="A996">
        <v>542.623046875</v>
      </c>
      <c r="B996">
        <v>0</v>
      </c>
      <c r="C996" s="4">
        <v>0.99864130434782605</v>
      </c>
    </row>
    <row r="997" spans="1:3">
      <c r="A997">
        <v>543.1689453125</v>
      </c>
      <c r="B997">
        <v>0</v>
      </c>
      <c r="C997" s="4">
        <v>0.99864130434782605</v>
      </c>
    </row>
    <row r="998" spans="1:3">
      <c r="A998">
        <v>543.71484375</v>
      </c>
      <c r="B998">
        <v>0</v>
      </c>
      <c r="C998" s="4">
        <v>0.99864130434782605</v>
      </c>
    </row>
    <row r="999" spans="1:3">
      <c r="A999">
        <v>544.2607421875</v>
      </c>
      <c r="B999">
        <v>0</v>
      </c>
      <c r="C999" s="4">
        <v>0.99864130434782605</v>
      </c>
    </row>
    <row r="1000" spans="1:3">
      <c r="A1000">
        <v>544.806640625</v>
      </c>
      <c r="B1000">
        <v>0</v>
      </c>
      <c r="C1000" s="4">
        <v>0.99864130434782605</v>
      </c>
    </row>
    <row r="1001" spans="1:3">
      <c r="A1001">
        <v>545.3525390625</v>
      </c>
      <c r="B1001">
        <v>0</v>
      </c>
      <c r="C1001" s="4">
        <v>0.99864130434782605</v>
      </c>
    </row>
    <row r="1002" spans="1:3">
      <c r="A1002">
        <v>545.8984375</v>
      </c>
      <c r="B1002">
        <v>0</v>
      </c>
      <c r="C1002" s="4">
        <v>0.99864130434782605</v>
      </c>
    </row>
    <row r="1003" spans="1:3">
      <c r="A1003">
        <v>546.4443359375</v>
      </c>
      <c r="B1003">
        <v>0</v>
      </c>
      <c r="C1003" s="4">
        <v>0.99864130434782605</v>
      </c>
    </row>
    <row r="1004" spans="1:3">
      <c r="A1004">
        <v>546.990234375</v>
      </c>
      <c r="B1004">
        <v>0</v>
      </c>
      <c r="C1004" s="4">
        <v>0.99864130434782605</v>
      </c>
    </row>
    <row r="1005" spans="1:3">
      <c r="A1005">
        <v>547.5361328125</v>
      </c>
      <c r="B1005">
        <v>0</v>
      </c>
      <c r="C1005" s="4">
        <v>0.99864130434782605</v>
      </c>
    </row>
    <row r="1006" spans="1:3">
      <c r="A1006">
        <v>548.08203125</v>
      </c>
      <c r="B1006">
        <v>0</v>
      </c>
      <c r="C1006" s="4">
        <v>0.99864130434782605</v>
      </c>
    </row>
    <row r="1007" spans="1:3">
      <c r="A1007">
        <v>548.6279296875</v>
      </c>
      <c r="B1007">
        <v>0</v>
      </c>
      <c r="C1007" s="4">
        <v>0.99864130434782605</v>
      </c>
    </row>
    <row r="1008" spans="1:3">
      <c r="A1008">
        <v>549.173828125</v>
      </c>
      <c r="B1008">
        <v>0</v>
      </c>
      <c r="C1008" s="4">
        <v>0.99864130434782605</v>
      </c>
    </row>
    <row r="1009" spans="1:3">
      <c r="A1009">
        <v>549.7197265625</v>
      </c>
      <c r="B1009">
        <v>0</v>
      </c>
      <c r="C1009" s="4">
        <v>0.99864130434782605</v>
      </c>
    </row>
    <row r="1010" spans="1:3">
      <c r="A1010">
        <v>550.265625</v>
      </c>
      <c r="B1010">
        <v>0</v>
      </c>
      <c r="C1010" s="4">
        <v>0.99864130434782605</v>
      </c>
    </row>
    <row r="1011" spans="1:3">
      <c r="A1011">
        <v>550.8115234375</v>
      </c>
      <c r="B1011">
        <v>0</v>
      </c>
      <c r="C1011" s="4">
        <v>0.99864130434782605</v>
      </c>
    </row>
    <row r="1012" spans="1:3">
      <c r="A1012">
        <v>551.357421875</v>
      </c>
      <c r="B1012">
        <v>0</v>
      </c>
      <c r="C1012" s="4">
        <v>0.99864130434782605</v>
      </c>
    </row>
    <row r="1013" spans="1:3">
      <c r="A1013">
        <v>551.9033203125</v>
      </c>
      <c r="B1013">
        <v>0</v>
      </c>
      <c r="C1013" s="4">
        <v>0.99864130434782605</v>
      </c>
    </row>
    <row r="1014" spans="1:3">
      <c r="A1014">
        <v>552.44921875</v>
      </c>
      <c r="B1014">
        <v>0</v>
      </c>
      <c r="C1014" s="4">
        <v>0.99864130434782605</v>
      </c>
    </row>
    <row r="1015" spans="1:3">
      <c r="A1015">
        <v>552.9951171875</v>
      </c>
      <c r="B1015">
        <v>0</v>
      </c>
      <c r="C1015" s="4">
        <v>0.99864130434782605</v>
      </c>
    </row>
    <row r="1016" spans="1:3">
      <c r="A1016">
        <v>553.541015625</v>
      </c>
      <c r="B1016">
        <v>0</v>
      </c>
      <c r="C1016" s="4">
        <v>0.99864130434782605</v>
      </c>
    </row>
    <row r="1017" spans="1:3">
      <c r="A1017">
        <v>554.0869140625</v>
      </c>
      <c r="B1017">
        <v>0</v>
      </c>
      <c r="C1017" s="4">
        <v>0.99864130434782605</v>
      </c>
    </row>
    <row r="1018" spans="1:3">
      <c r="A1018">
        <v>554.6328125</v>
      </c>
      <c r="B1018">
        <v>0</v>
      </c>
      <c r="C1018" s="4">
        <v>0.99864130434782605</v>
      </c>
    </row>
    <row r="1019" spans="1:3">
      <c r="A1019">
        <v>555.1787109375</v>
      </c>
      <c r="B1019">
        <v>0</v>
      </c>
      <c r="C1019" s="4">
        <v>0.99864130434782605</v>
      </c>
    </row>
    <row r="1020" spans="1:3">
      <c r="A1020">
        <v>555.724609375</v>
      </c>
      <c r="B1020">
        <v>0</v>
      </c>
      <c r="C1020" s="4">
        <v>0.99864130434782605</v>
      </c>
    </row>
    <row r="1021" spans="1:3">
      <c r="A1021">
        <v>556.2705078125</v>
      </c>
      <c r="B1021">
        <v>0</v>
      </c>
      <c r="C1021" s="4">
        <v>0.99864130434782605</v>
      </c>
    </row>
    <row r="1022" spans="1:3">
      <c r="A1022">
        <v>556.81640625</v>
      </c>
      <c r="B1022">
        <v>0</v>
      </c>
      <c r="C1022" s="4">
        <v>0.99864130434782605</v>
      </c>
    </row>
    <row r="1023" spans="1:3">
      <c r="A1023">
        <v>557.3623046875</v>
      </c>
      <c r="B1023">
        <v>0</v>
      </c>
      <c r="C1023" s="4">
        <v>0.99864130434782605</v>
      </c>
    </row>
    <row r="1024" spans="1:3">
      <c r="A1024">
        <v>557.908203125</v>
      </c>
      <c r="B1024">
        <v>0</v>
      </c>
      <c r="C1024" s="4">
        <v>0.99864130434782605</v>
      </c>
    </row>
    <row r="1025" spans="1:3">
      <c r="A1025">
        <v>558.4541015625</v>
      </c>
      <c r="B1025">
        <v>0</v>
      </c>
      <c r="C1025" s="4">
        <v>0.99864130434782605</v>
      </c>
    </row>
    <row r="1026" spans="1:3">
      <c r="A1026" t="s">
        <v>1042</v>
      </c>
      <c r="B1026">
        <v>1</v>
      </c>
      <c r="C1026" s="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9A62-B50E-4544-8B49-BB9100B59CCB}">
  <dimension ref="A1:R736"/>
  <sheetViews>
    <sheetView zoomScale="70" zoomScaleNormal="70" workbookViewId="0">
      <selection activeCell="E8" sqref="E8"/>
    </sheetView>
  </sheetViews>
  <sheetFormatPr defaultRowHeight="14.5"/>
  <cols>
    <col min="3" max="4" width="21.54296875" customWidth="1"/>
    <col min="5" max="5" width="17.90625" customWidth="1"/>
    <col min="6" max="6" width="24.6328125" customWidth="1"/>
    <col min="7" max="7" width="26.90625" customWidth="1"/>
    <col min="8" max="8" width="19.26953125" customWidth="1"/>
    <col min="12" max="12" width="9.6328125" customWidth="1"/>
    <col min="13" max="13" width="13" customWidth="1"/>
    <col min="14" max="14" width="11.81640625" customWidth="1"/>
    <col min="15" max="15" width="12.7265625" customWidth="1"/>
    <col min="16" max="16" width="13.1796875" customWidth="1"/>
    <col min="18" max="18" width="28" customWidth="1"/>
    <col min="24" max="24" width="36.90625" customWidth="1"/>
  </cols>
  <sheetData>
    <row r="1" spans="1:18">
      <c r="A1">
        <v>196</v>
      </c>
      <c r="C1">
        <v>0</v>
      </c>
      <c r="I1" s="6" t="s">
        <v>1041</v>
      </c>
      <c r="J1" s="6" t="s">
        <v>1043</v>
      </c>
      <c r="K1" t="s">
        <v>1047</v>
      </c>
      <c r="L1" t="s">
        <v>1048</v>
      </c>
      <c r="M1" t="s">
        <v>1049</v>
      </c>
      <c r="N1" t="s">
        <v>1050</v>
      </c>
      <c r="O1" t="s">
        <v>1051</v>
      </c>
      <c r="P1" t="s">
        <v>1052</v>
      </c>
      <c r="R1" t="s">
        <v>1053</v>
      </c>
    </row>
    <row r="2" spans="1:18">
      <c r="A2">
        <v>47</v>
      </c>
      <c r="C2">
        <v>30</v>
      </c>
      <c r="I2">
        <v>0</v>
      </c>
      <c r="J2">
        <v>1</v>
      </c>
      <c r="K2">
        <v>0</v>
      </c>
      <c r="L2">
        <f>I3</f>
        <v>30</v>
      </c>
      <c r="M2">
        <f>J2+J3</f>
        <v>174</v>
      </c>
      <c r="N2">
        <f>EXP(-$E$8*K2)-EXP(-$E$8*L2)</f>
        <v>0.22173176954844021</v>
      </c>
      <c r="O2">
        <f>$R$2*N2</f>
        <v>163.19458238765199</v>
      </c>
      <c r="P2">
        <f>IF(O2&lt;5,"",(M2-O2)^2/O2)</f>
        <v>0.71544684920910029</v>
      </c>
      <c r="R2">
        <f>SUM(M:M)</f>
        <v>736</v>
      </c>
    </row>
    <row r="3" spans="1:18">
      <c r="A3">
        <v>5</v>
      </c>
      <c r="C3">
        <v>60</v>
      </c>
      <c r="E3" t="s">
        <v>1045</v>
      </c>
      <c r="G3" t="s">
        <v>1040</v>
      </c>
      <c r="I3">
        <v>30</v>
      </c>
      <c r="J3">
        <v>173</v>
      </c>
      <c r="K3">
        <f>L2</f>
        <v>30</v>
      </c>
      <c r="L3">
        <f>I4</f>
        <v>60</v>
      </c>
      <c r="M3">
        <f>J4</f>
        <v>121</v>
      </c>
      <c r="N3">
        <f t="shared" ref="N3:N19" si="0">EXP(-$E$8*K3)-EXP(-$E$8*L3)</f>
        <v>0.17256679192135771</v>
      </c>
      <c r="O3">
        <f t="shared" ref="O3:O19" si="1">$R$2*N3</f>
        <v>127.00915885411928</v>
      </c>
      <c r="P3">
        <f t="shared" ref="P3:P19" si="2">IF(O3&lt;5,"",(M3-O3)^2/O3)</f>
        <v>0.28431012739416278</v>
      </c>
    </row>
    <row r="4" spans="1:18">
      <c r="A4">
        <v>339</v>
      </c>
      <c r="C4">
        <v>90</v>
      </c>
      <c r="E4">
        <f>AVERAGE(A:A)</f>
        <v>119.67255434782609</v>
      </c>
      <c r="G4">
        <f>_xlfn.STDEV.S(A:A)</f>
        <v>111.52049984270654</v>
      </c>
      <c r="I4">
        <v>60</v>
      </c>
      <c r="J4">
        <v>121</v>
      </c>
      <c r="K4">
        <f>L3</f>
        <v>60</v>
      </c>
      <c r="L4" s="7">
        <f>I5</f>
        <v>90</v>
      </c>
      <c r="M4">
        <f>J5</f>
        <v>96</v>
      </c>
      <c r="N4">
        <f t="shared" si="0"/>
        <v>0.13430325178333757</v>
      </c>
      <c r="O4">
        <f t="shared" si="1"/>
        <v>98.847193312536461</v>
      </c>
      <c r="P4">
        <f t="shared" si="2"/>
        <v>8.2010520352571586E-2</v>
      </c>
      <c r="R4" t="s">
        <v>1054</v>
      </c>
    </row>
    <row r="5" spans="1:18">
      <c r="A5">
        <v>93</v>
      </c>
      <c r="C5">
        <v>120</v>
      </c>
      <c r="I5">
        <v>90</v>
      </c>
      <c r="J5">
        <v>96</v>
      </c>
      <c r="K5">
        <f t="shared" ref="K5:K20" si="3">L4</f>
        <v>90</v>
      </c>
      <c r="L5" s="7">
        <f t="shared" ref="L5:L10" si="4">I6</f>
        <v>120</v>
      </c>
      <c r="M5">
        <f t="shared" ref="M5:M10" si="5">J6</f>
        <v>62</v>
      </c>
      <c r="N5">
        <f t="shared" si="0"/>
        <v>0.10452395410930831</v>
      </c>
      <c r="O5">
        <f t="shared" si="1"/>
        <v>76.929630224450918</v>
      </c>
      <c r="P5">
        <f t="shared" si="2"/>
        <v>2.8973733266170689</v>
      </c>
      <c r="R5">
        <f>SUM(P:P)</f>
        <v>12.683075500483781</v>
      </c>
    </row>
    <row r="6" spans="1:18">
      <c r="A6">
        <v>26</v>
      </c>
      <c r="C6">
        <v>150</v>
      </c>
      <c r="I6">
        <v>120</v>
      </c>
      <c r="J6">
        <v>62</v>
      </c>
      <c r="K6">
        <f t="shared" si="3"/>
        <v>120</v>
      </c>
      <c r="L6" s="7">
        <f t="shared" si="4"/>
        <v>150</v>
      </c>
      <c r="M6">
        <f t="shared" si="5"/>
        <v>59</v>
      </c>
      <c r="N6">
        <f t="shared" si="0"/>
        <v>8.1347672804451543E-2</v>
      </c>
      <c r="O6">
        <f t="shared" si="1"/>
        <v>59.871887184076336</v>
      </c>
      <c r="P6">
        <f t="shared" si="2"/>
        <v>1.2696898285824253E-2</v>
      </c>
      <c r="R6" t="s">
        <v>1055</v>
      </c>
    </row>
    <row r="7" spans="1:18">
      <c r="A7">
        <v>285</v>
      </c>
      <c r="C7">
        <v>180</v>
      </c>
      <c r="E7" t="s">
        <v>1046</v>
      </c>
      <c r="I7">
        <v>150</v>
      </c>
      <c r="J7">
        <v>59</v>
      </c>
      <c r="K7">
        <f t="shared" si="3"/>
        <v>150</v>
      </c>
      <c r="L7" s="7">
        <f t="shared" si="4"/>
        <v>180</v>
      </c>
      <c r="M7">
        <f t="shared" si="5"/>
        <v>54</v>
      </c>
      <c r="N7">
        <f t="shared" si="0"/>
        <v>6.3310309364872891E-2</v>
      </c>
      <c r="O7">
        <f t="shared" si="1"/>
        <v>46.59638769254645</v>
      </c>
      <c r="P7">
        <f t="shared" si="2"/>
        <v>1.1763460197977025</v>
      </c>
      <c r="R7">
        <f>COUNTIF(P:P,"&gt;0")</f>
        <v>14</v>
      </c>
    </row>
    <row r="8" spans="1:18">
      <c r="A8">
        <v>13</v>
      </c>
      <c r="C8">
        <v>210</v>
      </c>
      <c r="E8">
        <f>1/E4</f>
        <v>8.3561348335017428E-3</v>
      </c>
      <c r="I8">
        <v>180</v>
      </c>
      <c r="J8">
        <v>54</v>
      </c>
      <c r="K8">
        <f t="shared" si="3"/>
        <v>180</v>
      </c>
      <c r="L8" s="7">
        <f t="shared" si="4"/>
        <v>210</v>
      </c>
      <c r="M8">
        <f t="shared" si="5"/>
        <v>35</v>
      </c>
      <c r="N8">
        <f t="shared" si="0"/>
        <v>4.9272402438740454E-2</v>
      </c>
      <c r="O8">
        <f t="shared" si="1"/>
        <v>36.264488194912971</v>
      </c>
      <c r="P8">
        <f t="shared" si="2"/>
        <v>4.4090802729116009E-2</v>
      </c>
      <c r="R8" t="s">
        <v>1056</v>
      </c>
    </row>
    <row r="9" spans="1:18">
      <c r="A9">
        <v>26</v>
      </c>
      <c r="C9">
        <v>240</v>
      </c>
      <c r="I9">
        <v>210</v>
      </c>
      <c r="J9">
        <v>35</v>
      </c>
      <c r="K9">
        <f t="shared" si="3"/>
        <v>210</v>
      </c>
      <c r="L9" s="7">
        <f t="shared" si="4"/>
        <v>240</v>
      </c>
      <c r="M9">
        <f t="shared" si="5"/>
        <v>24</v>
      </c>
      <c r="N9">
        <f t="shared" si="0"/>
        <v>3.8347145456095605E-2</v>
      </c>
      <c r="O9">
        <f t="shared" si="1"/>
        <v>28.223499055686364</v>
      </c>
      <c r="P9">
        <f t="shared" si="2"/>
        <v>0.63202454940786967</v>
      </c>
      <c r="R9">
        <f>R7-2</f>
        <v>12</v>
      </c>
    </row>
    <row r="10" spans="1:18">
      <c r="A10">
        <v>177</v>
      </c>
      <c r="C10">
        <v>270</v>
      </c>
      <c r="I10">
        <v>240</v>
      </c>
      <c r="J10">
        <v>24</v>
      </c>
      <c r="K10">
        <f t="shared" si="3"/>
        <v>240</v>
      </c>
      <c r="L10" s="7">
        <f t="shared" si="4"/>
        <v>270</v>
      </c>
      <c r="M10">
        <f t="shared" si="5"/>
        <v>26</v>
      </c>
      <c r="N10">
        <f t="shared" si="0"/>
        <v>2.9844365036984122E-2</v>
      </c>
      <c r="O10">
        <f t="shared" si="1"/>
        <v>21.965452667220312</v>
      </c>
      <c r="P10">
        <f t="shared" si="2"/>
        <v>0.74105334531672051</v>
      </c>
      <c r="R10" t="s">
        <v>1057</v>
      </c>
    </row>
    <row r="11" spans="1:18">
      <c r="A11">
        <v>84</v>
      </c>
      <c r="C11">
        <v>300</v>
      </c>
      <c r="I11">
        <v>270</v>
      </c>
      <c r="J11">
        <v>26</v>
      </c>
      <c r="K11">
        <f t="shared" si="3"/>
        <v>270</v>
      </c>
      <c r="L11" s="7">
        <f t="shared" ref="L11:L19" si="6">I12</f>
        <v>300</v>
      </c>
      <c r="M11">
        <f t="shared" ref="M11:M19" si="7">J12</f>
        <v>24</v>
      </c>
      <c r="N11">
        <f t="shared" si="0"/>
        <v>2.3226921166284081E-2</v>
      </c>
      <c r="O11">
        <f t="shared" si="1"/>
        <v>17.095013978385083</v>
      </c>
      <c r="P11">
        <f t="shared" si="2"/>
        <v>2.7890490185607608</v>
      </c>
      <c r="R11">
        <f>_xlfn.CHISQ.INV.RT(0.05,R9)</f>
        <v>21.026069817483066</v>
      </c>
    </row>
    <row r="12" spans="1:18">
      <c r="A12">
        <v>14</v>
      </c>
      <c r="C12">
        <v>330</v>
      </c>
      <c r="I12">
        <v>300</v>
      </c>
      <c r="J12">
        <v>24</v>
      </c>
      <c r="K12">
        <f t="shared" si="3"/>
        <v>300</v>
      </c>
      <c r="L12" s="7">
        <f t="shared" si="6"/>
        <v>330</v>
      </c>
      <c r="M12">
        <f t="shared" si="7"/>
        <v>13</v>
      </c>
      <c r="N12">
        <f t="shared" si="0"/>
        <v>1.8076774834921747E-2</v>
      </c>
      <c r="O12">
        <f t="shared" si="1"/>
        <v>13.304506278502405</v>
      </c>
      <c r="P12">
        <f t="shared" si="2"/>
        <v>6.9693735119813549E-3</v>
      </c>
      <c r="R12" t="s">
        <v>1058</v>
      </c>
    </row>
    <row r="13" spans="1:18">
      <c r="A13">
        <v>28</v>
      </c>
      <c r="C13">
        <v>360</v>
      </c>
      <c r="I13">
        <v>330</v>
      </c>
      <c r="J13">
        <v>13</v>
      </c>
      <c r="K13">
        <f t="shared" si="3"/>
        <v>330</v>
      </c>
      <c r="L13" s="7">
        <f t="shared" si="6"/>
        <v>360</v>
      </c>
      <c r="M13">
        <f t="shared" si="7"/>
        <v>16</v>
      </c>
      <c r="N13">
        <f t="shared" si="0"/>
        <v>1.4068579563045837E-2</v>
      </c>
      <c r="O13">
        <f t="shared" si="1"/>
        <v>10.354474558401735</v>
      </c>
      <c r="P13">
        <f t="shared" si="2"/>
        <v>3.0780854530056305</v>
      </c>
      <c r="R13" t="str">
        <f>IF(R5&lt;=R11,"KABUL","RED")</f>
        <v>KABUL</v>
      </c>
    </row>
    <row r="14" spans="1:18">
      <c r="A14">
        <v>104</v>
      </c>
      <c r="C14">
        <v>390</v>
      </c>
      <c r="I14">
        <v>360</v>
      </c>
      <c r="J14">
        <v>16</v>
      </c>
      <c r="K14">
        <f t="shared" si="3"/>
        <v>360</v>
      </c>
      <c r="L14" s="7">
        <f t="shared" si="6"/>
        <v>390</v>
      </c>
      <c r="M14">
        <f t="shared" si="7"/>
        <v>7</v>
      </c>
      <c r="N14">
        <f t="shared" si="0"/>
        <v>1.0949128521498666E-2</v>
      </c>
      <c r="O14">
        <f t="shared" si="1"/>
        <v>8.0585585918230187</v>
      </c>
      <c r="P14">
        <f t="shared" si="2"/>
        <v>0.13905046163706564</v>
      </c>
    </row>
    <row r="15" spans="1:18">
      <c r="A15">
        <v>23</v>
      </c>
      <c r="C15">
        <v>420</v>
      </c>
      <c r="I15">
        <v>390</v>
      </c>
      <c r="J15">
        <v>7</v>
      </c>
      <c r="K15">
        <f t="shared" si="3"/>
        <v>390</v>
      </c>
      <c r="L15" s="7">
        <f t="shared" si="6"/>
        <v>420</v>
      </c>
      <c r="M15">
        <f t="shared" si="7"/>
        <v>7</v>
      </c>
      <c r="N15">
        <f t="shared" si="0"/>
        <v>8.5213588794134619E-3</v>
      </c>
      <c r="O15">
        <f t="shared" si="1"/>
        <v>6.2717201352483078</v>
      </c>
      <c r="P15">
        <f t="shared" si="2"/>
        <v>8.4568754658205736E-2</v>
      </c>
    </row>
    <row r="16" spans="1:18">
      <c r="A16">
        <v>24</v>
      </c>
      <c r="C16">
        <v>450</v>
      </c>
      <c r="I16">
        <v>420</v>
      </c>
      <c r="J16">
        <v>7</v>
      </c>
      <c r="K16">
        <f t="shared" si="3"/>
        <v>420</v>
      </c>
      <c r="L16" s="7">
        <f t="shared" si="6"/>
        <v>450</v>
      </c>
      <c r="M16">
        <f t="shared" si="7"/>
        <v>3</v>
      </c>
      <c r="N16">
        <f t="shared" si="0"/>
        <v>6.6319028961238022E-3</v>
      </c>
      <c r="O16">
        <f t="shared" si="1"/>
        <v>4.8810805315471182</v>
      </c>
      <c r="P16" t="str">
        <f t="shared" si="2"/>
        <v/>
      </c>
    </row>
    <row r="17" spans="1:16">
      <c r="A17">
        <v>243</v>
      </c>
      <c r="C17">
        <v>480</v>
      </c>
      <c r="I17">
        <v>450</v>
      </c>
      <c r="J17">
        <v>3</v>
      </c>
      <c r="K17">
        <f t="shared" si="3"/>
        <v>450</v>
      </c>
      <c r="L17" s="7">
        <f t="shared" si="6"/>
        <v>480</v>
      </c>
      <c r="M17">
        <f t="shared" si="7"/>
        <v>8</v>
      </c>
      <c r="N17">
        <f t="shared" si="0"/>
        <v>5.1613993314928407E-3</v>
      </c>
      <c r="O17">
        <f t="shared" si="1"/>
        <v>3.7987899079787306</v>
      </c>
      <c r="P17" t="str">
        <f t="shared" si="2"/>
        <v/>
      </c>
    </row>
    <row r="18" spans="1:16">
      <c r="A18">
        <v>85</v>
      </c>
      <c r="C18">
        <v>510</v>
      </c>
      <c r="I18">
        <v>480</v>
      </c>
      <c r="J18">
        <v>8</v>
      </c>
      <c r="K18">
        <f t="shared" si="3"/>
        <v>480</v>
      </c>
      <c r="L18" s="7">
        <f t="shared" si="6"/>
        <v>510</v>
      </c>
      <c r="M18">
        <f t="shared" si="7"/>
        <v>5</v>
      </c>
      <c r="N18">
        <f t="shared" si="0"/>
        <v>4.0169531243748093E-3</v>
      </c>
      <c r="O18">
        <f t="shared" si="1"/>
        <v>2.9564774995398597</v>
      </c>
      <c r="P18" t="str">
        <f t="shared" si="2"/>
        <v/>
      </c>
    </row>
    <row r="19" spans="1:16">
      <c r="A19">
        <v>162</v>
      </c>
      <c r="C19">
        <v>540</v>
      </c>
      <c r="I19">
        <v>510</v>
      </c>
      <c r="J19">
        <v>5</v>
      </c>
      <c r="K19">
        <f t="shared" si="3"/>
        <v>510</v>
      </c>
      <c r="L19" s="7">
        <f t="shared" si="6"/>
        <v>540</v>
      </c>
      <c r="M19">
        <f t="shared" si="7"/>
        <v>1</v>
      </c>
      <c r="N19">
        <f t="shared" si="0"/>
        <v>3.1262669999140361E-3</v>
      </c>
      <c r="O19">
        <f t="shared" si="1"/>
        <v>2.3009325119367308</v>
      </c>
      <c r="P19" t="str">
        <f t="shared" si="2"/>
        <v/>
      </c>
    </row>
    <row r="20" spans="1:16">
      <c r="A20">
        <v>54</v>
      </c>
      <c r="I20">
        <v>540</v>
      </c>
      <c r="J20">
        <v>1</v>
      </c>
      <c r="K20">
        <f t="shared" si="3"/>
        <v>540</v>
      </c>
      <c r="L20" s="7" t="str">
        <f t="shared" ref="L20" si="8">I21</f>
        <v>Diğer</v>
      </c>
      <c r="M20">
        <f t="shared" ref="M20" si="9">J21</f>
        <v>1</v>
      </c>
    </row>
    <row r="21" spans="1:16" ht="15" thickBot="1">
      <c r="A21">
        <v>146</v>
      </c>
      <c r="I21" s="5" t="s">
        <v>1042</v>
      </c>
      <c r="J21" s="5">
        <v>1</v>
      </c>
    </row>
    <row r="22" spans="1:16">
      <c r="A22">
        <v>33</v>
      </c>
    </row>
    <row r="23" spans="1:16">
      <c r="A23">
        <v>43</v>
      </c>
    </row>
    <row r="24" spans="1:16">
      <c r="A24">
        <v>32</v>
      </c>
    </row>
    <row r="25" spans="1:16">
      <c r="A25">
        <v>125</v>
      </c>
    </row>
    <row r="26" spans="1:16">
      <c r="A26">
        <v>172</v>
      </c>
    </row>
    <row r="27" spans="1:16">
      <c r="A27">
        <v>138</v>
      </c>
    </row>
    <row r="28" spans="1:16">
      <c r="A28">
        <v>58</v>
      </c>
    </row>
    <row r="29" spans="1:16">
      <c r="A29">
        <v>35</v>
      </c>
    </row>
    <row r="30" spans="1:16">
      <c r="A30">
        <v>172</v>
      </c>
    </row>
    <row r="31" spans="1:16">
      <c r="A31">
        <v>299</v>
      </c>
    </row>
    <row r="32" spans="1:16">
      <c r="A32">
        <v>80</v>
      </c>
    </row>
    <row r="33" spans="1:1">
      <c r="A33">
        <v>398</v>
      </c>
    </row>
    <row r="34" spans="1:1">
      <c r="A34">
        <v>11</v>
      </c>
    </row>
    <row r="35" spans="1:1">
      <c r="A35">
        <v>288</v>
      </c>
    </row>
    <row r="36" spans="1:1">
      <c r="A36">
        <v>95</v>
      </c>
    </row>
    <row r="37" spans="1:1">
      <c r="A37">
        <v>7</v>
      </c>
    </row>
    <row r="38" spans="1:1">
      <c r="A38">
        <v>42</v>
      </c>
    </row>
    <row r="39" spans="1:1">
      <c r="A39">
        <v>13</v>
      </c>
    </row>
    <row r="40" spans="1:1">
      <c r="A40">
        <v>134</v>
      </c>
    </row>
    <row r="41" spans="1:1">
      <c r="A41">
        <v>164</v>
      </c>
    </row>
    <row r="42" spans="1:1">
      <c r="A42">
        <v>435</v>
      </c>
    </row>
    <row r="43" spans="1:1">
      <c r="A43">
        <v>77</v>
      </c>
    </row>
    <row r="44" spans="1:1">
      <c r="A44">
        <v>136</v>
      </c>
    </row>
    <row r="45" spans="1:1">
      <c r="A45">
        <v>24</v>
      </c>
    </row>
    <row r="46" spans="1:1">
      <c r="A46">
        <v>57</v>
      </c>
    </row>
    <row r="47" spans="1:1">
      <c r="A47">
        <v>80</v>
      </c>
    </row>
    <row r="48" spans="1:1">
      <c r="A48">
        <v>63</v>
      </c>
    </row>
    <row r="49" spans="1:1">
      <c r="A49">
        <v>179</v>
      </c>
    </row>
    <row r="50" spans="1:1">
      <c r="A50">
        <v>37</v>
      </c>
    </row>
    <row r="51" spans="1:1">
      <c r="A51">
        <v>22</v>
      </c>
    </row>
    <row r="52" spans="1:1">
      <c r="A52">
        <v>7</v>
      </c>
    </row>
    <row r="53" spans="1:1">
      <c r="A53">
        <v>113</v>
      </c>
    </row>
    <row r="54" spans="1:1">
      <c r="A54">
        <v>21</v>
      </c>
    </row>
    <row r="55" spans="1:1">
      <c r="A55">
        <v>397</v>
      </c>
    </row>
    <row r="56" spans="1:1">
      <c r="A56">
        <v>67</v>
      </c>
    </row>
    <row r="57" spans="1:1">
      <c r="A57">
        <v>16</v>
      </c>
    </row>
    <row r="58" spans="1:1">
      <c r="A58">
        <v>1</v>
      </c>
    </row>
    <row r="59" spans="1:1">
      <c r="A59">
        <v>5</v>
      </c>
    </row>
    <row r="60" spans="1:1">
      <c r="A60">
        <v>54</v>
      </c>
    </row>
    <row r="61" spans="1:1">
      <c r="A61">
        <v>58</v>
      </c>
    </row>
    <row r="62" spans="1:1">
      <c r="A62">
        <v>15</v>
      </c>
    </row>
    <row r="63" spans="1:1">
      <c r="A63">
        <v>89</v>
      </c>
    </row>
    <row r="64" spans="1:1">
      <c r="A64">
        <v>17</v>
      </c>
    </row>
    <row r="65" spans="1:1">
      <c r="A65">
        <v>203</v>
      </c>
    </row>
    <row r="66" spans="1:1">
      <c r="A66">
        <v>53</v>
      </c>
    </row>
    <row r="67" spans="1:1">
      <c r="A67">
        <v>406</v>
      </c>
    </row>
    <row r="68" spans="1:1">
      <c r="A68">
        <v>21</v>
      </c>
    </row>
    <row r="69" spans="1:1">
      <c r="A69">
        <v>152</v>
      </c>
    </row>
    <row r="70" spans="1:1">
      <c r="A70">
        <v>35</v>
      </c>
    </row>
    <row r="71" spans="1:1">
      <c r="A71">
        <v>159</v>
      </c>
    </row>
    <row r="72" spans="1:1">
      <c r="A72">
        <v>95</v>
      </c>
    </row>
    <row r="73" spans="1:1">
      <c r="A73">
        <v>270</v>
      </c>
    </row>
    <row r="74" spans="1:1">
      <c r="A74">
        <v>336</v>
      </c>
    </row>
    <row r="75" spans="1:1">
      <c r="A75">
        <v>3</v>
      </c>
    </row>
    <row r="76" spans="1:1">
      <c r="A76">
        <v>70</v>
      </c>
    </row>
    <row r="77" spans="1:1">
      <c r="A77">
        <v>75</v>
      </c>
    </row>
    <row r="78" spans="1:1">
      <c r="A78">
        <v>134</v>
      </c>
    </row>
    <row r="79" spans="1:1">
      <c r="A79">
        <v>3</v>
      </c>
    </row>
    <row r="80" spans="1:1">
      <c r="A80">
        <v>145</v>
      </c>
    </row>
    <row r="81" spans="1:1">
      <c r="A81">
        <v>199</v>
      </c>
    </row>
    <row r="82" spans="1:1">
      <c r="A82">
        <v>30</v>
      </c>
    </row>
    <row r="83" spans="1:1">
      <c r="A83">
        <v>232</v>
      </c>
    </row>
    <row r="84" spans="1:1">
      <c r="A84">
        <v>147</v>
      </c>
    </row>
    <row r="85" spans="1:1">
      <c r="A85">
        <v>90</v>
      </c>
    </row>
    <row r="86" spans="1:1">
      <c r="A86">
        <v>46</v>
      </c>
    </row>
    <row r="87" spans="1:1">
      <c r="A87">
        <v>181</v>
      </c>
    </row>
    <row r="88" spans="1:1">
      <c r="A88">
        <v>302</v>
      </c>
    </row>
    <row r="89" spans="1:1">
      <c r="A89">
        <v>284</v>
      </c>
    </row>
    <row r="90" spans="1:1">
      <c r="A90">
        <v>164</v>
      </c>
    </row>
    <row r="91" spans="1:1">
      <c r="A91">
        <v>19</v>
      </c>
    </row>
    <row r="92" spans="1:1">
      <c r="A92">
        <v>118</v>
      </c>
    </row>
    <row r="93" spans="1:1">
      <c r="A93">
        <v>54</v>
      </c>
    </row>
    <row r="94" spans="1:1">
      <c r="A94">
        <v>193</v>
      </c>
    </row>
    <row r="95" spans="1:1">
      <c r="A95">
        <v>81</v>
      </c>
    </row>
    <row r="96" spans="1:1">
      <c r="A96">
        <v>85</v>
      </c>
    </row>
    <row r="97" spans="1:1">
      <c r="A97">
        <v>111</v>
      </c>
    </row>
    <row r="98" spans="1:1">
      <c r="A98">
        <v>210</v>
      </c>
    </row>
    <row r="99" spans="1:1">
      <c r="A99">
        <v>25</v>
      </c>
    </row>
    <row r="100" spans="1:1">
      <c r="A100">
        <v>29</v>
      </c>
    </row>
    <row r="101" spans="1:1">
      <c r="A101">
        <v>95</v>
      </c>
    </row>
    <row r="102" spans="1:1">
      <c r="A102">
        <v>143</v>
      </c>
    </row>
    <row r="103" spans="1:1">
      <c r="A103">
        <v>271</v>
      </c>
    </row>
    <row r="104" spans="1:1">
      <c r="A104">
        <v>57</v>
      </c>
    </row>
    <row r="105" spans="1:1">
      <c r="A105">
        <v>278</v>
      </c>
    </row>
    <row r="106" spans="1:1">
      <c r="A106">
        <v>9</v>
      </c>
    </row>
    <row r="107" spans="1:1">
      <c r="A107">
        <v>70</v>
      </c>
    </row>
    <row r="108" spans="1:1">
      <c r="A108">
        <v>165</v>
      </c>
    </row>
    <row r="109" spans="1:1">
      <c r="A109">
        <v>155</v>
      </c>
    </row>
    <row r="110" spans="1:1">
      <c r="A110">
        <v>62</v>
      </c>
    </row>
    <row r="111" spans="1:1">
      <c r="A111">
        <v>281</v>
      </c>
    </row>
    <row r="112" spans="1:1">
      <c r="A112">
        <v>142</v>
      </c>
    </row>
    <row r="113" spans="1:1">
      <c r="A113">
        <v>355</v>
      </c>
    </row>
    <row r="114" spans="1:1">
      <c r="A114">
        <v>22</v>
      </c>
    </row>
    <row r="115" spans="1:1">
      <c r="A115">
        <v>6</v>
      </c>
    </row>
    <row r="116" spans="1:1">
      <c r="A116">
        <v>134</v>
      </c>
    </row>
    <row r="117" spans="1:1">
      <c r="A117">
        <v>37</v>
      </c>
    </row>
    <row r="118" spans="1:1">
      <c r="A118">
        <v>248</v>
      </c>
    </row>
    <row r="119" spans="1:1">
      <c r="A119">
        <v>268</v>
      </c>
    </row>
    <row r="120" spans="1:1">
      <c r="A120">
        <v>349</v>
      </c>
    </row>
    <row r="121" spans="1:1">
      <c r="A121">
        <v>22</v>
      </c>
    </row>
    <row r="122" spans="1:1">
      <c r="A122">
        <v>119</v>
      </c>
    </row>
    <row r="123" spans="1:1">
      <c r="A123">
        <v>174</v>
      </c>
    </row>
    <row r="124" spans="1:1">
      <c r="A124">
        <v>111</v>
      </c>
    </row>
    <row r="125" spans="1:1">
      <c r="A125">
        <v>100</v>
      </c>
    </row>
    <row r="126" spans="1:1">
      <c r="A126">
        <v>62</v>
      </c>
    </row>
    <row r="127" spans="1:1">
      <c r="A127">
        <v>3</v>
      </c>
    </row>
    <row r="128" spans="1:1">
      <c r="A128">
        <v>139</v>
      </c>
    </row>
    <row r="129" spans="1:1">
      <c r="A129">
        <v>173</v>
      </c>
    </row>
    <row r="130" spans="1:1">
      <c r="A130">
        <v>42</v>
      </c>
    </row>
    <row r="131" spans="1:1">
      <c r="A131">
        <v>18</v>
      </c>
    </row>
    <row r="132" spans="1:1">
      <c r="A132">
        <v>134</v>
      </c>
    </row>
    <row r="133" spans="1:1">
      <c r="A133">
        <v>131</v>
      </c>
    </row>
    <row r="134" spans="1:1">
      <c r="A134">
        <v>290</v>
      </c>
    </row>
    <row r="135" spans="1:1">
      <c r="A135">
        <v>281</v>
      </c>
    </row>
    <row r="136" spans="1:1">
      <c r="A136">
        <v>14</v>
      </c>
    </row>
    <row r="137" spans="1:1">
      <c r="A137">
        <v>271</v>
      </c>
    </row>
    <row r="138" spans="1:1">
      <c r="A138">
        <v>26</v>
      </c>
    </row>
    <row r="139" spans="1:1">
      <c r="A139">
        <v>54</v>
      </c>
    </row>
    <row r="140" spans="1:1">
      <c r="A140">
        <v>165</v>
      </c>
    </row>
    <row r="141" spans="1:1">
      <c r="A141">
        <v>18</v>
      </c>
    </row>
    <row r="142" spans="1:1">
      <c r="A142">
        <v>476</v>
      </c>
    </row>
    <row r="143" spans="1:1">
      <c r="A143">
        <v>87</v>
      </c>
    </row>
    <row r="144" spans="1:1">
      <c r="A144">
        <v>18</v>
      </c>
    </row>
    <row r="145" spans="1:1">
      <c r="A145">
        <v>55</v>
      </c>
    </row>
    <row r="146" spans="1:1">
      <c r="A146">
        <v>89</v>
      </c>
    </row>
    <row r="147" spans="1:1">
      <c r="A147">
        <v>110</v>
      </c>
    </row>
    <row r="148" spans="1:1">
      <c r="A148">
        <v>318</v>
      </c>
    </row>
    <row r="149" spans="1:1">
      <c r="A149">
        <v>42</v>
      </c>
    </row>
    <row r="150" spans="1:1">
      <c r="A150">
        <v>30</v>
      </c>
    </row>
    <row r="151" spans="1:1">
      <c r="A151">
        <v>198</v>
      </c>
    </row>
    <row r="152" spans="1:1">
      <c r="A152">
        <v>134</v>
      </c>
    </row>
    <row r="153" spans="1:1">
      <c r="A153">
        <v>45</v>
      </c>
    </row>
    <row r="154" spans="1:1">
      <c r="A154">
        <v>361</v>
      </c>
    </row>
    <row r="155" spans="1:1">
      <c r="A155">
        <v>111</v>
      </c>
    </row>
    <row r="156" spans="1:1">
      <c r="A156">
        <v>80</v>
      </c>
    </row>
    <row r="157" spans="1:1">
      <c r="A157">
        <v>38</v>
      </c>
    </row>
    <row r="158" spans="1:1">
      <c r="A158">
        <v>106</v>
      </c>
    </row>
    <row r="159" spans="1:1">
      <c r="A159">
        <v>112</v>
      </c>
    </row>
    <row r="160" spans="1:1">
      <c r="A160">
        <v>185</v>
      </c>
    </row>
    <row r="161" spans="1:1">
      <c r="A161">
        <v>25</v>
      </c>
    </row>
    <row r="162" spans="1:1">
      <c r="A162">
        <v>34</v>
      </c>
    </row>
    <row r="163" spans="1:1">
      <c r="A163">
        <v>40</v>
      </c>
    </row>
    <row r="164" spans="1:1">
      <c r="A164">
        <v>8</v>
      </c>
    </row>
    <row r="165" spans="1:1">
      <c r="A165">
        <v>56</v>
      </c>
    </row>
    <row r="166" spans="1:1">
      <c r="A166">
        <v>21</v>
      </c>
    </row>
    <row r="167" spans="1:1">
      <c r="A167">
        <v>138</v>
      </c>
    </row>
    <row r="168" spans="1:1">
      <c r="A168">
        <v>25</v>
      </c>
    </row>
    <row r="169" spans="1:1">
      <c r="A169">
        <v>261</v>
      </c>
    </row>
    <row r="170" spans="1:1">
      <c r="A170">
        <v>65</v>
      </c>
    </row>
    <row r="171" spans="1:1">
      <c r="A171">
        <v>111</v>
      </c>
    </row>
    <row r="172" spans="1:1">
      <c r="A172">
        <v>19</v>
      </c>
    </row>
    <row r="173" spans="1:1">
      <c r="A173">
        <v>468</v>
      </c>
    </row>
    <row r="174" spans="1:1">
      <c r="A174">
        <v>88</v>
      </c>
    </row>
    <row r="175" spans="1:1">
      <c r="A175">
        <v>323</v>
      </c>
    </row>
    <row r="176" spans="1:1">
      <c r="A176">
        <v>148</v>
      </c>
    </row>
    <row r="177" spans="1:1">
      <c r="A177">
        <v>136</v>
      </c>
    </row>
    <row r="178" spans="1:1">
      <c r="A178">
        <v>301</v>
      </c>
    </row>
    <row r="179" spans="1:1">
      <c r="A179">
        <v>8</v>
      </c>
    </row>
    <row r="180" spans="1:1">
      <c r="A180">
        <v>33</v>
      </c>
    </row>
    <row r="181" spans="1:1">
      <c r="A181">
        <v>35</v>
      </c>
    </row>
    <row r="182" spans="1:1">
      <c r="A182">
        <v>271</v>
      </c>
    </row>
    <row r="183" spans="1:1">
      <c r="A183">
        <v>45</v>
      </c>
    </row>
    <row r="184" spans="1:1">
      <c r="A184">
        <v>387</v>
      </c>
    </row>
    <row r="185" spans="1:1">
      <c r="A185">
        <v>11</v>
      </c>
    </row>
    <row r="186" spans="1:1">
      <c r="A186">
        <v>20</v>
      </c>
    </row>
    <row r="187" spans="1:1">
      <c r="A187">
        <v>20</v>
      </c>
    </row>
    <row r="188" spans="1:1">
      <c r="A188">
        <v>71</v>
      </c>
    </row>
    <row r="189" spans="1:1">
      <c r="A189">
        <v>58</v>
      </c>
    </row>
    <row r="190" spans="1:1">
      <c r="A190">
        <v>3</v>
      </c>
    </row>
    <row r="191" spans="1:1">
      <c r="A191">
        <v>51</v>
      </c>
    </row>
    <row r="192" spans="1:1">
      <c r="A192">
        <v>33</v>
      </c>
    </row>
    <row r="193" spans="1:1">
      <c r="A193">
        <v>98</v>
      </c>
    </row>
    <row r="194" spans="1:1">
      <c r="A194">
        <v>144</v>
      </c>
    </row>
    <row r="195" spans="1:1">
      <c r="A195">
        <v>184</v>
      </c>
    </row>
    <row r="196" spans="1:1">
      <c r="A196">
        <v>46</v>
      </c>
    </row>
    <row r="197" spans="1:1">
      <c r="A197">
        <v>126</v>
      </c>
    </row>
    <row r="198" spans="1:1">
      <c r="A198">
        <v>6</v>
      </c>
    </row>
    <row r="199" spans="1:1">
      <c r="A199">
        <v>324</v>
      </c>
    </row>
    <row r="200" spans="1:1">
      <c r="A200">
        <v>164</v>
      </c>
    </row>
    <row r="201" spans="1:1">
      <c r="A201">
        <v>81</v>
      </c>
    </row>
    <row r="202" spans="1:1">
      <c r="A202">
        <v>402</v>
      </c>
    </row>
    <row r="203" spans="1:1">
      <c r="A203">
        <v>197</v>
      </c>
    </row>
    <row r="204" spans="1:1">
      <c r="A204">
        <v>65</v>
      </c>
    </row>
    <row r="205" spans="1:1">
      <c r="A205">
        <v>22</v>
      </c>
    </row>
    <row r="206" spans="1:1">
      <c r="A206">
        <v>93</v>
      </c>
    </row>
    <row r="207" spans="1:1">
      <c r="A207">
        <v>12</v>
      </c>
    </row>
    <row r="208" spans="1:1">
      <c r="A208">
        <v>106</v>
      </c>
    </row>
    <row r="209" spans="1:1">
      <c r="A209">
        <v>26</v>
      </c>
    </row>
    <row r="210" spans="1:1">
      <c r="A210">
        <v>52</v>
      </c>
    </row>
    <row r="211" spans="1:1">
      <c r="A211">
        <v>164</v>
      </c>
    </row>
    <row r="212" spans="1:1">
      <c r="A212">
        <v>48</v>
      </c>
    </row>
    <row r="213" spans="1:1">
      <c r="A213">
        <v>228</v>
      </c>
    </row>
    <row r="214" spans="1:1">
      <c r="A214">
        <v>13</v>
      </c>
    </row>
    <row r="215" spans="1:1">
      <c r="A215">
        <v>23</v>
      </c>
    </row>
    <row r="216" spans="1:1">
      <c r="A216">
        <v>328</v>
      </c>
    </row>
    <row r="217" spans="1:1">
      <c r="A217">
        <v>13</v>
      </c>
    </row>
    <row r="218" spans="1:1">
      <c r="A218">
        <v>33</v>
      </c>
    </row>
    <row r="219" spans="1:1">
      <c r="A219">
        <v>32</v>
      </c>
    </row>
    <row r="220" spans="1:1">
      <c r="A220">
        <v>241</v>
      </c>
    </row>
    <row r="221" spans="1:1">
      <c r="A221">
        <v>14</v>
      </c>
    </row>
    <row r="222" spans="1:1">
      <c r="A222">
        <v>16</v>
      </c>
    </row>
    <row r="223" spans="1:1">
      <c r="A223">
        <v>43</v>
      </c>
    </row>
    <row r="224" spans="1:1">
      <c r="A224">
        <v>3</v>
      </c>
    </row>
    <row r="225" spans="1:1">
      <c r="A225">
        <v>39</v>
      </c>
    </row>
    <row r="226" spans="1:1">
      <c r="A226">
        <v>139</v>
      </c>
    </row>
    <row r="227" spans="1:1">
      <c r="A227">
        <v>345</v>
      </c>
    </row>
    <row r="228" spans="1:1">
      <c r="A228">
        <v>17</v>
      </c>
    </row>
    <row r="229" spans="1:1">
      <c r="A229">
        <v>233</v>
      </c>
    </row>
    <row r="230" spans="1:1">
      <c r="A230">
        <v>132</v>
      </c>
    </row>
    <row r="231" spans="1:1">
      <c r="A231">
        <v>163</v>
      </c>
    </row>
    <row r="232" spans="1:1">
      <c r="A232">
        <v>49</v>
      </c>
    </row>
    <row r="233" spans="1:1">
      <c r="A233">
        <v>167</v>
      </c>
    </row>
    <row r="234" spans="1:1">
      <c r="A234">
        <v>283</v>
      </c>
    </row>
    <row r="235" spans="1:1">
      <c r="A235">
        <v>67</v>
      </c>
    </row>
    <row r="236" spans="1:1">
      <c r="A236">
        <v>30</v>
      </c>
    </row>
    <row r="237" spans="1:1">
      <c r="A237">
        <v>7</v>
      </c>
    </row>
    <row r="238" spans="1:1">
      <c r="A238">
        <v>142</v>
      </c>
    </row>
    <row r="239" spans="1:1">
      <c r="A239">
        <v>15</v>
      </c>
    </row>
    <row r="240" spans="1:1">
      <c r="A240">
        <v>147</v>
      </c>
    </row>
    <row r="241" spans="1:1">
      <c r="A241">
        <v>245</v>
      </c>
    </row>
    <row r="242" spans="1:1">
      <c r="A242">
        <v>1</v>
      </c>
    </row>
    <row r="243" spans="1:1">
      <c r="A243">
        <v>35</v>
      </c>
    </row>
    <row r="244" spans="1:1">
      <c r="A244">
        <v>38</v>
      </c>
    </row>
    <row r="245" spans="1:1">
      <c r="A245">
        <v>54</v>
      </c>
    </row>
    <row r="246" spans="1:1">
      <c r="A246">
        <v>156</v>
      </c>
    </row>
    <row r="247" spans="1:1">
      <c r="A247">
        <v>147</v>
      </c>
    </row>
    <row r="248" spans="1:1">
      <c r="A248">
        <v>147</v>
      </c>
    </row>
    <row r="249" spans="1:1">
      <c r="A249">
        <v>37</v>
      </c>
    </row>
    <row r="250" spans="1:1">
      <c r="A250">
        <v>222</v>
      </c>
    </row>
    <row r="251" spans="1:1">
      <c r="A251">
        <v>451</v>
      </c>
    </row>
    <row r="252" spans="1:1">
      <c r="A252">
        <v>24</v>
      </c>
    </row>
    <row r="253" spans="1:1">
      <c r="A253">
        <v>40</v>
      </c>
    </row>
    <row r="254" spans="1:1">
      <c r="A254">
        <v>310</v>
      </c>
    </row>
    <row r="255" spans="1:1">
      <c r="A255">
        <v>78</v>
      </c>
    </row>
    <row r="256" spans="1:1">
      <c r="A256">
        <v>361</v>
      </c>
    </row>
    <row r="257" spans="1:1">
      <c r="A257">
        <v>76</v>
      </c>
    </row>
    <row r="258" spans="1:1">
      <c r="A258">
        <v>337</v>
      </c>
    </row>
    <row r="259" spans="1:1">
      <c r="A259">
        <v>39</v>
      </c>
    </row>
    <row r="260" spans="1:1">
      <c r="A260">
        <v>498</v>
      </c>
    </row>
    <row r="261" spans="1:1">
      <c r="A261">
        <v>50</v>
      </c>
    </row>
    <row r="262" spans="1:1">
      <c r="A262">
        <v>508</v>
      </c>
    </row>
    <row r="263" spans="1:1">
      <c r="A263">
        <v>161</v>
      </c>
    </row>
    <row r="264" spans="1:1">
      <c r="A264">
        <v>351</v>
      </c>
    </row>
    <row r="265" spans="1:1">
      <c r="A265">
        <v>51</v>
      </c>
    </row>
    <row r="266" spans="1:1">
      <c r="A266">
        <v>8</v>
      </c>
    </row>
    <row r="267" spans="1:1">
      <c r="A267">
        <v>87</v>
      </c>
    </row>
    <row r="268" spans="1:1">
      <c r="A268">
        <v>282</v>
      </c>
    </row>
    <row r="269" spans="1:1">
      <c r="A269">
        <v>108</v>
      </c>
    </row>
    <row r="270" spans="1:1">
      <c r="A270">
        <v>129</v>
      </c>
    </row>
    <row r="271" spans="1:1">
      <c r="A271">
        <v>37</v>
      </c>
    </row>
    <row r="272" spans="1:1">
      <c r="A272">
        <v>219</v>
      </c>
    </row>
    <row r="273" spans="1:1">
      <c r="A273">
        <v>17</v>
      </c>
    </row>
    <row r="274" spans="1:1">
      <c r="A274">
        <v>303</v>
      </c>
    </row>
    <row r="275" spans="1:1">
      <c r="A275">
        <v>28</v>
      </c>
    </row>
    <row r="276" spans="1:1">
      <c r="A276">
        <v>69</v>
      </c>
    </row>
    <row r="277" spans="1:1">
      <c r="A277">
        <v>105</v>
      </c>
    </row>
    <row r="278" spans="1:1">
      <c r="A278">
        <v>296</v>
      </c>
    </row>
    <row r="279" spans="1:1">
      <c r="A279">
        <v>4</v>
      </c>
    </row>
    <row r="280" spans="1:1">
      <c r="A280">
        <v>27</v>
      </c>
    </row>
    <row r="281" spans="1:1">
      <c r="A281">
        <v>91</v>
      </c>
    </row>
    <row r="282" spans="1:1">
      <c r="A282">
        <v>354</v>
      </c>
    </row>
    <row r="283" spans="1:1">
      <c r="A283">
        <v>63</v>
      </c>
    </row>
    <row r="284" spans="1:1">
      <c r="A284">
        <v>7</v>
      </c>
    </row>
    <row r="285" spans="1:1">
      <c r="A285">
        <v>73</v>
      </c>
    </row>
    <row r="286" spans="1:1">
      <c r="A286">
        <v>78</v>
      </c>
    </row>
    <row r="287" spans="1:1">
      <c r="A287">
        <v>123</v>
      </c>
    </row>
    <row r="288" spans="1:1">
      <c r="A288">
        <v>157</v>
      </c>
    </row>
    <row r="289" spans="1:1">
      <c r="A289">
        <v>120</v>
      </c>
    </row>
    <row r="290" spans="1:1">
      <c r="A290">
        <v>36</v>
      </c>
    </row>
    <row r="291" spans="1:1">
      <c r="A291">
        <v>290</v>
      </c>
    </row>
    <row r="292" spans="1:1">
      <c r="A292">
        <v>198</v>
      </c>
    </row>
    <row r="293" spans="1:1">
      <c r="A293">
        <v>180</v>
      </c>
    </row>
    <row r="294" spans="1:1">
      <c r="A294">
        <v>341</v>
      </c>
    </row>
    <row r="295" spans="1:1">
      <c r="A295">
        <v>96</v>
      </c>
    </row>
    <row r="296" spans="1:1">
      <c r="A296">
        <v>413</v>
      </c>
    </row>
    <row r="297" spans="1:1">
      <c r="A297">
        <v>376</v>
      </c>
    </row>
    <row r="298" spans="1:1">
      <c r="A298">
        <v>67</v>
      </c>
    </row>
    <row r="299" spans="1:1">
      <c r="A299">
        <v>200</v>
      </c>
    </row>
    <row r="300" spans="1:1">
      <c r="A300">
        <v>152</v>
      </c>
    </row>
    <row r="301" spans="1:1">
      <c r="A301">
        <v>33</v>
      </c>
    </row>
    <row r="302" spans="1:1">
      <c r="A302">
        <v>70</v>
      </c>
    </row>
    <row r="303" spans="1:1">
      <c r="A303">
        <v>187</v>
      </c>
    </row>
    <row r="304" spans="1:1">
      <c r="A304">
        <v>12</v>
      </c>
    </row>
    <row r="305" spans="1:1">
      <c r="A305">
        <v>59</v>
      </c>
    </row>
    <row r="306" spans="1:1">
      <c r="A306">
        <v>119</v>
      </c>
    </row>
    <row r="307" spans="1:1">
      <c r="A307">
        <v>191</v>
      </c>
    </row>
    <row r="308" spans="1:1">
      <c r="A308">
        <v>9</v>
      </c>
    </row>
    <row r="309" spans="1:1">
      <c r="A309">
        <v>116</v>
      </c>
    </row>
    <row r="310" spans="1:1">
      <c r="A310">
        <v>10</v>
      </c>
    </row>
    <row r="311" spans="1:1">
      <c r="A311">
        <v>26</v>
      </c>
    </row>
    <row r="312" spans="1:1">
      <c r="A312">
        <v>47</v>
      </c>
    </row>
    <row r="313" spans="1:1">
      <c r="A313">
        <v>101</v>
      </c>
    </row>
    <row r="314" spans="1:1">
      <c r="A314">
        <v>89</v>
      </c>
    </row>
    <row r="315" spans="1:1">
      <c r="A315">
        <v>14</v>
      </c>
    </row>
    <row r="316" spans="1:1">
      <c r="A316">
        <v>28</v>
      </c>
    </row>
    <row r="317" spans="1:1">
      <c r="A317">
        <v>27</v>
      </c>
    </row>
    <row r="318" spans="1:1">
      <c r="A318">
        <v>559</v>
      </c>
    </row>
    <row r="319" spans="1:1">
      <c r="A319">
        <v>52</v>
      </c>
    </row>
    <row r="320" spans="1:1">
      <c r="A320">
        <v>70</v>
      </c>
    </row>
    <row r="321" spans="1:1">
      <c r="A321">
        <v>113</v>
      </c>
    </row>
    <row r="322" spans="1:1">
      <c r="A322">
        <v>121</v>
      </c>
    </row>
    <row r="323" spans="1:1">
      <c r="A323">
        <v>11</v>
      </c>
    </row>
    <row r="324" spans="1:1">
      <c r="A324">
        <v>60</v>
      </c>
    </row>
    <row r="325" spans="1:1">
      <c r="A325">
        <v>144</v>
      </c>
    </row>
    <row r="326" spans="1:1">
      <c r="A326">
        <v>26</v>
      </c>
    </row>
    <row r="327" spans="1:1">
      <c r="A327">
        <v>25</v>
      </c>
    </row>
    <row r="328" spans="1:1">
      <c r="A328">
        <v>20</v>
      </c>
    </row>
    <row r="329" spans="1:1">
      <c r="A329">
        <v>68</v>
      </c>
    </row>
    <row r="330" spans="1:1">
      <c r="A330">
        <v>276</v>
      </c>
    </row>
    <row r="331" spans="1:1">
      <c r="A331">
        <v>44</v>
      </c>
    </row>
    <row r="332" spans="1:1">
      <c r="A332">
        <v>16</v>
      </c>
    </row>
    <row r="333" spans="1:1">
      <c r="A333">
        <v>188</v>
      </c>
    </row>
    <row r="334" spans="1:1">
      <c r="A334">
        <v>58</v>
      </c>
    </row>
    <row r="335" spans="1:1">
      <c r="A335">
        <v>62</v>
      </c>
    </row>
    <row r="336" spans="1:1">
      <c r="A336">
        <v>114</v>
      </c>
    </row>
    <row r="337" spans="1:1">
      <c r="A337">
        <v>55</v>
      </c>
    </row>
    <row r="338" spans="1:1">
      <c r="A338">
        <v>78</v>
      </c>
    </row>
    <row r="339" spans="1:1">
      <c r="A339">
        <v>260</v>
      </c>
    </row>
    <row r="340" spans="1:1">
      <c r="A340">
        <v>332</v>
      </c>
    </row>
    <row r="341" spans="1:1">
      <c r="A341">
        <v>45</v>
      </c>
    </row>
    <row r="342" spans="1:1">
      <c r="A342">
        <v>65</v>
      </c>
    </row>
    <row r="343" spans="1:1">
      <c r="A343">
        <v>62</v>
      </c>
    </row>
    <row r="344" spans="1:1">
      <c r="A344">
        <v>172</v>
      </c>
    </row>
    <row r="345" spans="1:1">
      <c r="A345">
        <v>25</v>
      </c>
    </row>
    <row r="346" spans="1:1">
      <c r="A346">
        <v>31</v>
      </c>
    </row>
    <row r="347" spans="1:1">
      <c r="A347">
        <v>140</v>
      </c>
    </row>
    <row r="348" spans="1:1">
      <c r="A348">
        <v>73</v>
      </c>
    </row>
    <row r="349" spans="1:1">
      <c r="A349">
        <v>218</v>
      </c>
    </row>
    <row r="350" spans="1:1">
      <c r="A350">
        <v>49</v>
      </c>
    </row>
    <row r="351" spans="1:1">
      <c r="A351">
        <v>173</v>
      </c>
    </row>
    <row r="352" spans="1:1">
      <c r="A352">
        <v>42</v>
      </c>
    </row>
    <row r="353" spans="1:1">
      <c r="A353">
        <v>54</v>
      </c>
    </row>
    <row r="354" spans="1:1">
      <c r="A354">
        <v>5</v>
      </c>
    </row>
    <row r="355" spans="1:1">
      <c r="A355">
        <v>17</v>
      </c>
    </row>
    <row r="356" spans="1:1">
      <c r="A356">
        <v>108</v>
      </c>
    </row>
    <row r="357" spans="1:1">
      <c r="A357">
        <v>143</v>
      </c>
    </row>
    <row r="358" spans="1:1">
      <c r="A358">
        <v>5</v>
      </c>
    </row>
    <row r="359" spans="1:1">
      <c r="A359">
        <v>17</v>
      </c>
    </row>
    <row r="360" spans="1:1">
      <c r="A360">
        <v>461</v>
      </c>
    </row>
    <row r="361" spans="1:1">
      <c r="A361">
        <v>48</v>
      </c>
    </row>
    <row r="362" spans="1:1">
      <c r="A362">
        <v>66</v>
      </c>
    </row>
    <row r="363" spans="1:1">
      <c r="A363">
        <v>272</v>
      </c>
    </row>
    <row r="364" spans="1:1">
      <c r="A364">
        <v>13</v>
      </c>
    </row>
    <row r="365" spans="1:1">
      <c r="A365">
        <v>1</v>
      </c>
    </row>
    <row r="366" spans="1:1">
      <c r="A366">
        <v>15</v>
      </c>
    </row>
    <row r="367" spans="1:1">
      <c r="A367">
        <v>201</v>
      </c>
    </row>
    <row r="368" spans="1:1">
      <c r="A368">
        <v>204</v>
      </c>
    </row>
    <row r="369" spans="1:1">
      <c r="A369">
        <v>105</v>
      </c>
    </row>
    <row r="370" spans="1:1">
      <c r="A370">
        <v>180</v>
      </c>
    </row>
    <row r="371" spans="1:1">
      <c r="A371">
        <v>179</v>
      </c>
    </row>
    <row r="372" spans="1:1">
      <c r="A372">
        <v>2</v>
      </c>
    </row>
    <row r="373" spans="1:1">
      <c r="A373">
        <v>67</v>
      </c>
    </row>
    <row r="374" spans="1:1">
      <c r="A374">
        <v>24</v>
      </c>
    </row>
    <row r="375" spans="1:1">
      <c r="A375">
        <v>203</v>
      </c>
    </row>
    <row r="376" spans="1:1">
      <c r="A376">
        <v>163</v>
      </c>
    </row>
    <row r="377" spans="1:1">
      <c r="A377">
        <v>30</v>
      </c>
    </row>
    <row r="378" spans="1:1">
      <c r="A378">
        <v>89</v>
      </c>
    </row>
    <row r="379" spans="1:1">
      <c r="A379">
        <v>201</v>
      </c>
    </row>
    <row r="380" spans="1:1">
      <c r="A380">
        <v>142</v>
      </c>
    </row>
    <row r="381" spans="1:1">
      <c r="A381">
        <v>48</v>
      </c>
    </row>
    <row r="382" spans="1:1">
      <c r="A382">
        <v>21</v>
      </c>
    </row>
    <row r="383" spans="1:1">
      <c r="A383">
        <v>111</v>
      </c>
    </row>
    <row r="384" spans="1:1">
      <c r="A384">
        <v>6</v>
      </c>
    </row>
    <row r="385" spans="1:1">
      <c r="A385">
        <v>157</v>
      </c>
    </row>
    <row r="386" spans="1:1">
      <c r="A386">
        <v>42</v>
      </c>
    </row>
    <row r="387" spans="1:1">
      <c r="A387">
        <v>351</v>
      </c>
    </row>
    <row r="388" spans="1:1">
      <c r="A388">
        <v>6</v>
      </c>
    </row>
    <row r="389" spans="1:1">
      <c r="A389">
        <v>37</v>
      </c>
    </row>
    <row r="390" spans="1:1">
      <c r="A390">
        <v>413</v>
      </c>
    </row>
    <row r="391" spans="1:1">
      <c r="A391">
        <v>16</v>
      </c>
    </row>
    <row r="392" spans="1:1">
      <c r="A392">
        <v>77</v>
      </c>
    </row>
    <row r="393" spans="1:1">
      <c r="A393">
        <v>451</v>
      </c>
    </row>
    <row r="394" spans="1:1">
      <c r="A394">
        <v>43</v>
      </c>
    </row>
    <row r="395" spans="1:1">
      <c r="A395">
        <v>84</v>
      </c>
    </row>
    <row r="396" spans="1:1">
      <c r="A396">
        <v>331</v>
      </c>
    </row>
    <row r="397" spans="1:1">
      <c r="A397">
        <v>84</v>
      </c>
    </row>
    <row r="398" spans="1:1">
      <c r="A398">
        <v>50</v>
      </c>
    </row>
    <row r="399" spans="1:1">
      <c r="A399">
        <v>144</v>
      </c>
    </row>
    <row r="400" spans="1:1">
      <c r="A400">
        <v>40</v>
      </c>
    </row>
    <row r="401" spans="1:1">
      <c r="A401">
        <v>81</v>
      </c>
    </row>
    <row r="402" spans="1:1">
      <c r="A402">
        <v>62</v>
      </c>
    </row>
    <row r="403" spans="1:1">
      <c r="A403">
        <v>40</v>
      </c>
    </row>
    <row r="404" spans="1:1">
      <c r="A404">
        <v>56</v>
      </c>
    </row>
    <row r="405" spans="1:1">
      <c r="A405">
        <v>10</v>
      </c>
    </row>
    <row r="406" spans="1:1">
      <c r="A406">
        <v>192</v>
      </c>
    </row>
    <row r="407" spans="1:1">
      <c r="A407">
        <v>102</v>
      </c>
    </row>
    <row r="408" spans="1:1">
      <c r="A408">
        <v>152</v>
      </c>
    </row>
    <row r="409" spans="1:1">
      <c r="A409">
        <v>378</v>
      </c>
    </row>
    <row r="410" spans="1:1">
      <c r="A410">
        <v>3</v>
      </c>
    </row>
    <row r="411" spans="1:1">
      <c r="A411">
        <v>9</v>
      </c>
    </row>
    <row r="412" spans="1:1">
      <c r="A412">
        <v>19</v>
      </c>
    </row>
    <row r="413" spans="1:1">
      <c r="A413">
        <v>62</v>
      </c>
    </row>
    <row r="414" spans="1:1">
      <c r="A414">
        <v>176</v>
      </c>
    </row>
    <row r="415" spans="1:1">
      <c r="A415">
        <v>45</v>
      </c>
    </row>
    <row r="416" spans="1:1">
      <c r="A416">
        <v>205</v>
      </c>
    </row>
    <row r="417" spans="1:1">
      <c r="A417">
        <v>249</v>
      </c>
    </row>
    <row r="418" spans="1:1">
      <c r="A418">
        <v>14</v>
      </c>
    </row>
    <row r="419" spans="1:1">
      <c r="A419">
        <v>4</v>
      </c>
    </row>
    <row r="420" spans="1:1">
      <c r="A420">
        <v>30</v>
      </c>
    </row>
    <row r="421" spans="1:1">
      <c r="A421">
        <v>66</v>
      </c>
    </row>
    <row r="422" spans="1:1">
      <c r="A422">
        <v>180</v>
      </c>
    </row>
    <row r="423" spans="1:1">
      <c r="A423">
        <v>62</v>
      </c>
    </row>
    <row r="424" spans="1:1">
      <c r="A424">
        <v>68</v>
      </c>
    </row>
    <row r="425" spans="1:1">
      <c r="A425">
        <v>0</v>
      </c>
    </row>
    <row r="426" spans="1:1">
      <c r="A426">
        <v>16</v>
      </c>
    </row>
    <row r="427" spans="1:1">
      <c r="A427">
        <v>36</v>
      </c>
    </row>
    <row r="428" spans="1:1">
      <c r="A428">
        <v>359</v>
      </c>
    </row>
    <row r="429" spans="1:1">
      <c r="A429">
        <v>109</v>
      </c>
    </row>
    <row r="430" spans="1:1">
      <c r="A430">
        <v>61</v>
      </c>
    </row>
    <row r="431" spans="1:1">
      <c r="A431">
        <v>259</v>
      </c>
    </row>
    <row r="432" spans="1:1">
      <c r="A432">
        <v>25</v>
      </c>
    </row>
    <row r="433" spans="1:1">
      <c r="A433">
        <v>3</v>
      </c>
    </row>
    <row r="434" spans="1:1">
      <c r="A434">
        <v>49</v>
      </c>
    </row>
    <row r="435" spans="1:1">
      <c r="A435">
        <v>34</v>
      </c>
    </row>
    <row r="436" spans="1:1">
      <c r="A436">
        <v>6</v>
      </c>
    </row>
    <row r="437" spans="1:1">
      <c r="A437">
        <v>38</v>
      </c>
    </row>
    <row r="438" spans="1:1">
      <c r="A438">
        <v>111</v>
      </c>
    </row>
    <row r="439" spans="1:1">
      <c r="A439">
        <v>81</v>
      </c>
    </row>
    <row r="440" spans="1:1">
      <c r="A440">
        <v>24</v>
      </c>
    </row>
    <row r="441" spans="1:1">
      <c r="A441">
        <v>162</v>
      </c>
    </row>
    <row r="442" spans="1:1">
      <c r="A442">
        <v>164</v>
      </c>
    </row>
    <row r="443" spans="1:1">
      <c r="A443">
        <v>129</v>
      </c>
    </row>
    <row r="444" spans="1:1">
      <c r="A444">
        <v>222</v>
      </c>
    </row>
    <row r="445" spans="1:1">
      <c r="A445">
        <v>21</v>
      </c>
    </row>
    <row r="446" spans="1:1">
      <c r="A446">
        <v>126</v>
      </c>
    </row>
    <row r="447" spans="1:1">
      <c r="A447">
        <v>23</v>
      </c>
    </row>
    <row r="448" spans="1:1">
      <c r="A448">
        <v>34</v>
      </c>
    </row>
    <row r="449" spans="1:1">
      <c r="A449">
        <v>246</v>
      </c>
    </row>
    <row r="450" spans="1:1">
      <c r="A450">
        <v>49</v>
      </c>
    </row>
    <row r="451" spans="1:1">
      <c r="A451">
        <v>23</v>
      </c>
    </row>
    <row r="452" spans="1:1">
      <c r="A452">
        <v>231</v>
      </c>
    </row>
    <row r="453" spans="1:1">
      <c r="A453">
        <v>68</v>
      </c>
    </row>
    <row r="454" spans="1:1">
      <c r="A454">
        <v>103</v>
      </c>
    </row>
    <row r="455" spans="1:1">
      <c r="A455">
        <v>174</v>
      </c>
    </row>
    <row r="456" spans="1:1">
      <c r="A456">
        <v>187</v>
      </c>
    </row>
    <row r="457" spans="1:1">
      <c r="A457">
        <v>456</v>
      </c>
    </row>
    <row r="458" spans="1:1">
      <c r="A458">
        <v>26</v>
      </c>
    </row>
    <row r="459" spans="1:1">
      <c r="A459">
        <v>76</v>
      </c>
    </row>
    <row r="460" spans="1:1">
      <c r="A460">
        <v>129</v>
      </c>
    </row>
    <row r="461" spans="1:1">
      <c r="A461">
        <v>124</v>
      </c>
    </row>
    <row r="462" spans="1:1">
      <c r="A462">
        <v>137</v>
      </c>
    </row>
    <row r="463" spans="1:1">
      <c r="A463">
        <v>24</v>
      </c>
    </row>
    <row r="464" spans="1:1">
      <c r="A464">
        <v>67</v>
      </c>
    </row>
    <row r="465" spans="1:1">
      <c r="A465">
        <v>23</v>
      </c>
    </row>
    <row r="466" spans="1:1">
      <c r="A466">
        <v>45</v>
      </c>
    </row>
    <row r="467" spans="1:1">
      <c r="A467">
        <v>93</v>
      </c>
    </row>
    <row r="468" spans="1:1">
      <c r="A468">
        <v>10</v>
      </c>
    </row>
    <row r="469" spans="1:1">
      <c r="A469">
        <v>98</v>
      </c>
    </row>
    <row r="470" spans="1:1">
      <c r="A470">
        <v>407</v>
      </c>
    </row>
    <row r="471" spans="1:1">
      <c r="A471">
        <v>113</v>
      </c>
    </row>
    <row r="472" spans="1:1">
      <c r="A472">
        <v>119</v>
      </c>
    </row>
    <row r="473" spans="1:1">
      <c r="A473">
        <v>136</v>
      </c>
    </row>
    <row r="474" spans="1:1">
      <c r="A474">
        <v>279</v>
      </c>
    </row>
    <row r="475" spans="1:1">
      <c r="A475">
        <v>83</v>
      </c>
    </row>
    <row r="476" spans="1:1">
      <c r="A476">
        <v>51</v>
      </c>
    </row>
    <row r="477" spans="1:1">
      <c r="A477">
        <v>21</v>
      </c>
    </row>
    <row r="478" spans="1:1">
      <c r="A478">
        <v>303</v>
      </c>
    </row>
    <row r="479" spans="1:1">
      <c r="A479">
        <v>11</v>
      </c>
    </row>
    <row r="480" spans="1:1">
      <c r="A480">
        <v>27</v>
      </c>
    </row>
    <row r="481" spans="1:1">
      <c r="A481">
        <v>231</v>
      </c>
    </row>
    <row r="482" spans="1:1">
      <c r="A482">
        <v>62</v>
      </c>
    </row>
    <row r="483" spans="1:1">
      <c r="A483">
        <v>35</v>
      </c>
    </row>
    <row r="484" spans="1:1">
      <c r="A484">
        <v>246</v>
      </c>
    </row>
    <row r="485" spans="1:1">
      <c r="A485">
        <v>13</v>
      </c>
    </row>
    <row r="486" spans="1:1">
      <c r="A486">
        <v>81</v>
      </c>
    </row>
    <row r="487" spans="1:1">
      <c r="A487">
        <v>28</v>
      </c>
    </row>
    <row r="488" spans="1:1">
      <c r="A488">
        <v>506</v>
      </c>
    </row>
    <row r="489" spans="1:1">
      <c r="A489">
        <v>243</v>
      </c>
    </row>
    <row r="490" spans="1:1">
      <c r="A490">
        <v>7</v>
      </c>
    </row>
    <row r="491" spans="1:1">
      <c r="A491">
        <v>71</v>
      </c>
    </row>
    <row r="492" spans="1:1">
      <c r="A492">
        <v>221</v>
      </c>
    </row>
    <row r="493" spans="1:1">
      <c r="A493">
        <v>22</v>
      </c>
    </row>
    <row r="494" spans="1:1">
      <c r="A494">
        <v>140</v>
      </c>
    </row>
    <row r="495" spans="1:1">
      <c r="A495">
        <v>111</v>
      </c>
    </row>
    <row r="496" spans="1:1">
      <c r="A496">
        <v>84</v>
      </c>
    </row>
    <row r="497" spans="1:1">
      <c r="A497">
        <v>3</v>
      </c>
    </row>
    <row r="498" spans="1:1">
      <c r="A498">
        <v>248</v>
      </c>
    </row>
    <row r="499" spans="1:1">
      <c r="A499">
        <v>237</v>
      </c>
    </row>
    <row r="500" spans="1:1">
      <c r="A500">
        <v>110</v>
      </c>
    </row>
    <row r="501" spans="1:1">
      <c r="A501">
        <v>527</v>
      </c>
    </row>
    <row r="502" spans="1:1">
      <c r="A502">
        <v>428</v>
      </c>
    </row>
    <row r="503" spans="1:1">
      <c r="A503">
        <v>42</v>
      </c>
    </row>
    <row r="504" spans="1:1">
      <c r="A504">
        <v>24</v>
      </c>
    </row>
    <row r="505" spans="1:1">
      <c r="A505">
        <v>34</v>
      </c>
    </row>
    <row r="506" spans="1:1">
      <c r="A506">
        <v>9</v>
      </c>
    </row>
    <row r="507" spans="1:1">
      <c r="A507">
        <v>299</v>
      </c>
    </row>
    <row r="508" spans="1:1">
      <c r="A508">
        <v>126</v>
      </c>
    </row>
    <row r="509" spans="1:1">
      <c r="A509">
        <v>23</v>
      </c>
    </row>
    <row r="510" spans="1:1">
      <c r="A510">
        <v>106</v>
      </c>
    </row>
    <row r="511" spans="1:1">
      <c r="A511">
        <v>20</v>
      </c>
    </row>
    <row r="512" spans="1:1">
      <c r="A512">
        <v>172</v>
      </c>
    </row>
    <row r="513" spans="1:1">
      <c r="A513">
        <v>29</v>
      </c>
    </row>
    <row r="514" spans="1:1">
      <c r="A514">
        <v>30</v>
      </c>
    </row>
    <row r="515" spans="1:1">
      <c r="A515">
        <v>27</v>
      </c>
    </row>
    <row r="516" spans="1:1">
      <c r="A516">
        <v>98</v>
      </c>
    </row>
    <row r="517" spans="1:1">
      <c r="A517">
        <v>1</v>
      </c>
    </row>
    <row r="518" spans="1:1">
      <c r="A518">
        <v>34</v>
      </c>
    </row>
    <row r="519" spans="1:1">
      <c r="A519">
        <v>63</v>
      </c>
    </row>
    <row r="520" spans="1:1">
      <c r="A520">
        <v>342</v>
      </c>
    </row>
    <row r="521" spans="1:1">
      <c r="A521">
        <v>341</v>
      </c>
    </row>
    <row r="522" spans="1:1">
      <c r="A522">
        <v>256</v>
      </c>
    </row>
    <row r="523" spans="1:1">
      <c r="A523">
        <v>186</v>
      </c>
    </row>
    <row r="524" spans="1:1">
      <c r="A524">
        <v>146</v>
      </c>
    </row>
    <row r="525" spans="1:1">
      <c r="A525">
        <v>53</v>
      </c>
    </row>
    <row r="526" spans="1:1">
      <c r="A526">
        <v>185</v>
      </c>
    </row>
    <row r="527" spans="1:1">
      <c r="A527">
        <v>43</v>
      </c>
    </row>
    <row r="528" spans="1:1">
      <c r="A528">
        <v>37</v>
      </c>
    </row>
    <row r="529" spans="1:1">
      <c r="A529">
        <v>22</v>
      </c>
    </row>
    <row r="530" spans="1:1">
      <c r="A530">
        <v>264</v>
      </c>
    </row>
    <row r="531" spans="1:1">
      <c r="A531">
        <v>79</v>
      </c>
    </row>
    <row r="532" spans="1:1">
      <c r="A532">
        <v>85</v>
      </c>
    </row>
    <row r="533" spans="1:1">
      <c r="A533">
        <v>70</v>
      </c>
    </row>
    <row r="534" spans="1:1">
      <c r="A534">
        <v>28</v>
      </c>
    </row>
    <row r="535" spans="1:1">
      <c r="A535">
        <v>178</v>
      </c>
    </row>
    <row r="536" spans="1:1">
      <c r="A536">
        <v>149</v>
      </c>
    </row>
    <row r="537" spans="1:1">
      <c r="A537">
        <v>101</v>
      </c>
    </row>
    <row r="538" spans="1:1">
      <c r="A538">
        <v>20</v>
      </c>
    </row>
    <row r="539" spans="1:1">
      <c r="A539">
        <v>55</v>
      </c>
    </row>
    <row r="540" spans="1:1">
      <c r="A540">
        <v>82</v>
      </c>
    </row>
    <row r="541" spans="1:1">
      <c r="A541">
        <v>63</v>
      </c>
    </row>
    <row r="542" spans="1:1">
      <c r="A542">
        <v>202</v>
      </c>
    </row>
    <row r="543" spans="1:1">
      <c r="A543">
        <v>211</v>
      </c>
    </row>
    <row r="544" spans="1:1">
      <c r="A544">
        <v>134</v>
      </c>
    </row>
    <row r="545" spans="1:1">
      <c r="A545">
        <v>264</v>
      </c>
    </row>
    <row r="546" spans="1:1">
      <c r="A546">
        <v>226</v>
      </c>
    </row>
    <row r="547" spans="1:1">
      <c r="A547">
        <v>331</v>
      </c>
    </row>
    <row r="548" spans="1:1">
      <c r="A548">
        <v>479</v>
      </c>
    </row>
    <row r="549" spans="1:1">
      <c r="A549">
        <v>110</v>
      </c>
    </row>
    <row r="550" spans="1:1">
      <c r="A550">
        <v>7</v>
      </c>
    </row>
    <row r="551" spans="1:1">
      <c r="A551">
        <v>8</v>
      </c>
    </row>
    <row r="552" spans="1:1">
      <c r="A552">
        <v>42</v>
      </c>
    </row>
    <row r="553" spans="1:1">
      <c r="A553">
        <v>36</v>
      </c>
    </row>
    <row r="554" spans="1:1">
      <c r="A554">
        <v>19</v>
      </c>
    </row>
    <row r="555" spans="1:1">
      <c r="A555">
        <v>50</v>
      </c>
    </row>
    <row r="556" spans="1:1">
      <c r="A556">
        <v>29</v>
      </c>
    </row>
    <row r="557" spans="1:1">
      <c r="A557">
        <v>227</v>
      </c>
    </row>
    <row r="558" spans="1:1">
      <c r="A558">
        <v>81</v>
      </c>
    </row>
    <row r="559" spans="1:1">
      <c r="A559">
        <v>455</v>
      </c>
    </row>
    <row r="560" spans="1:1">
      <c r="A560">
        <v>10</v>
      </c>
    </row>
    <row r="561" spans="1:1">
      <c r="A561">
        <v>72</v>
      </c>
    </row>
    <row r="562" spans="1:1">
      <c r="A562">
        <v>46</v>
      </c>
    </row>
    <row r="563" spans="1:1">
      <c r="A563">
        <v>164</v>
      </c>
    </row>
    <row r="564" spans="1:1">
      <c r="A564">
        <v>305</v>
      </c>
    </row>
    <row r="565" spans="1:1">
      <c r="A565">
        <v>222</v>
      </c>
    </row>
    <row r="566" spans="1:1">
      <c r="A566">
        <v>61</v>
      </c>
    </row>
    <row r="567" spans="1:1">
      <c r="A567">
        <v>161</v>
      </c>
    </row>
    <row r="568" spans="1:1">
      <c r="A568">
        <v>30</v>
      </c>
    </row>
    <row r="569" spans="1:1">
      <c r="A569">
        <v>27</v>
      </c>
    </row>
    <row r="570" spans="1:1">
      <c r="A570">
        <v>163</v>
      </c>
    </row>
    <row r="571" spans="1:1">
      <c r="A571">
        <v>130</v>
      </c>
    </row>
    <row r="572" spans="1:1">
      <c r="A572">
        <v>131</v>
      </c>
    </row>
    <row r="573" spans="1:1">
      <c r="A573">
        <v>87</v>
      </c>
    </row>
    <row r="574" spans="1:1">
      <c r="A574">
        <v>4</v>
      </c>
    </row>
    <row r="575" spans="1:1">
      <c r="A575">
        <v>157</v>
      </c>
    </row>
    <row r="576" spans="1:1">
      <c r="A576">
        <v>86</v>
      </c>
    </row>
    <row r="577" spans="1:1">
      <c r="A577">
        <v>144</v>
      </c>
    </row>
    <row r="578" spans="1:1">
      <c r="A578">
        <v>81</v>
      </c>
    </row>
    <row r="579" spans="1:1">
      <c r="A579">
        <v>40</v>
      </c>
    </row>
    <row r="580" spans="1:1">
      <c r="A580">
        <v>101</v>
      </c>
    </row>
    <row r="581" spans="1:1">
      <c r="A581">
        <v>44</v>
      </c>
    </row>
    <row r="582" spans="1:1">
      <c r="A582">
        <v>154</v>
      </c>
    </row>
    <row r="583" spans="1:1">
      <c r="A583">
        <v>41</v>
      </c>
    </row>
    <row r="584" spans="1:1">
      <c r="A584">
        <v>24</v>
      </c>
    </row>
    <row r="585" spans="1:1">
      <c r="A585">
        <v>3</v>
      </c>
    </row>
    <row r="586" spans="1:1">
      <c r="A586">
        <v>86</v>
      </c>
    </row>
    <row r="587" spans="1:1">
      <c r="A587">
        <v>262</v>
      </c>
    </row>
    <row r="588" spans="1:1">
      <c r="A588">
        <v>436</v>
      </c>
    </row>
    <row r="589" spans="1:1">
      <c r="A589">
        <v>108</v>
      </c>
    </row>
    <row r="590" spans="1:1">
      <c r="A590">
        <v>149</v>
      </c>
    </row>
    <row r="591" spans="1:1">
      <c r="A591">
        <v>43</v>
      </c>
    </row>
    <row r="592" spans="1:1">
      <c r="A592">
        <v>42</v>
      </c>
    </row>
    <row r="593" spans="1:1">
      <c r="A593">
        <v>148</v>
      </c>
    </row>
    <row r="594" spans="1:1">
      <c r="A594">
        <v>236</v>
      </c>
    </row>
    <row r="595" spans="1:1">
      <c r="A595">
        <v>17</v>
      </c>
    </row>
    <row r="596" spans="1:1">
      <c r="A596">
        <v>300</v>
      </c>
    </row>
    <row r="597" spans="1:1">
      <c r="A597">
        <v>81</v>
      </c>
    </row>
    <row r="598" spans="1:1">
      <c r="A598">
        <v>48</v>
      </c>
    </row>
    <row r="599" spans="1:1">
      <c r="A599">
        <v>24</v>
      </c>
    </row>
    <row r="600" spans="1:1">
      <c r="A600">
        <v>504</v>
      </c>
    </row>
    <row r="601" spans="1:1">
      <c r="A601">
        <v>52</v>
      </c>
    </row>
    <row r="602" spans="1:1">
      <c r="A602">
        <v>20</v>
      </c>
    </row>
    <row r="603" spans="1:1">
      <c r="A603">
        <v>222</v>
      </c>
    </row>
    <row r="604" spans="1:1">
      <c r="A604">
        <v>176</v>
      </c>
    </row>
    <row r="605" spans="1:1">
      <c r="A605">
        <v>84</v>
      </c>
    </row>
    <row r="606" spans="1:1">
      <c r="A606">
        <v>81</v>
      </c>
    </row>
    <row r="607" spans="1:1">
      <c r="A607">
        <v>47</v>
      </c>
    </row>
    <row r="608" spans="1:1">
      <c r="A608">
        <v>42</v>
      </c>
    </row>
    <row r="609" spans="1:1">
      <c r="A609">
        <v>70</v>
      </c>
    </row>
    <row r="610" spans="1:1">
      <c r="A610">
        <v>12</v>
      </c>
    </row>
    <row r="611" spans="1:1">
      <c r="A611">
        <v>11</v>
      </c>
    </row>
    <row r="612" spans="1:1">
      <c r="A612">
        <v>197</v>
      </c>
    </row>
    <row r="613" spans="1:1">
      <c r="A613">
        <v>4</v>
      </c>
    </row>
    <row r="614" spans="1:1">
      <c r="A614">
        <v>24</v>
      </c>
    </row>
    <row r="615" spans="1:1">
      <c r="A615">
        <v>8</v>
      </c>
    </row>
    <row r="616" spans="1:1">
      <c r="A616">
        <v>12</v>
      </c>
    </row>
    <row r="617" spans="1:1">
      <c r="A617">
        <v>2</v>
      </c>
    </row>
    <row r="618" spans="1:1">
      <c r="A618">
        <v>23</v>
      </c>
    </row>
    <row r="619" spans="1:1">
      <c r="A619">
        <v>166</v>
      </c>
    </row>
    <row r="620" spans="1:1">
      <c r="A620">
        <v>244</v>
      </c>
    </row>
    <row r="621" spans="1:1">
      <c r="A621">
        <v>103</v>
      </c>
    </row>
    <row r="622" spans="1:1">
      <c r="A622">
        <v>107</v>
      </c>
    </row>
    <row r="623" spans="1:1">
      <c r="A623">
        <v>308</v>
      </c>
    </row>
    <row r="624" spans="1:1">
      <c r="A624">
        <v>37</v>
      </c>
    </row>
    <row r="625" spans="1:1">
      <c r="A625">
        <v>139</v>
      </c>
    </row>
    <row r="626" spans="1:1">
      <c r="A626">
        <v>184</v>
      </c>
    </row>
    <row r="627" spans="1:1">
      <c r="A627">
        <v>256</v>
      </c>
    </row>
    <row r="628" spans="1:1">
      <c r="A628">
        <v>189</v>
      </c>
    </row>
    <row r="629" spans="1:1">
      <c r="A629">
        <v>76</v>
      </c>
    </row>
    <row r="630" spans="1:1">
      <c r="A630">
        <v>287</v>
      </c>
    </row>
    <row r="631" spans="1:1">
      <c r="A631">
        <v>51</v>
      </c>
    </row>
    <row r="632" spans="1:1">
      <c r="A632">
        <v>19</v>
      </c>
    </row>
    <row r="633" spans="1:1">
      <c r="A633">
        <v>142</v>
      </c>
    </row>
    <row r="634" spans="1:1">
      <c r="A634">
        <v>137</v>
      </c>
    </row>
    <row r="635" spans="1:1">
      <c r="A635">
        <v>37</v>
      </c>
    </row>
    <row r="636" spans="1:1">
      <c r="A636">
        <v>154</v>
      </c>
    </row>
    <row r="637" spans="1:1">
      <c r="A637">
        <v>94</v>
      </c>
    </row>
    <row r="638" spans="1:1">
      <c r="A638">
        <v>97</v>
      </c>
    </row>
    <row r="639" spans="1:1">
      <c r="A639">
        <v>76</v>
      </c>
    </row>
    <row r="640" spans="1:1">
      <c r="A640">
        <v>65</v>
      </c>
    </row>
    <row r="641" spans="1:1">
      <c r="A641">
        <v>46</v>
      </c>
    </row>
    <row r="642" spans="1:1">
      <c r="A642">
        <v>288</v>
      </c>
    </row>
    <row r="643" spans="1:1">
      <c r="A643">
        <v>191</v>
      </c>
    </row>
    <row r="644" spans="1:1">
      <c r="A644">
        <v>221</v>
      </c>
    </row>
    <row r="645" spans="1:1">
      <c r="A645">
        <v>69</v>
      </c>
    </row>
    <row r="646" spans="1:1">
      <c r="A646">
        <v>181</v>
      </c>
    </row>
    <row r="647" spans="1:1">
      <c r="A647">
        <v>73</v>
      </c>
    </row>
    <row r="648" spans="1:1">
      <c r="A648">
        <v>59</v>
      </c>
    </row>
    <row r="649" spans="1:1">
      <c r="A649">
        <v>94</v>
      </c>
    </row>
    <row r="650" spans="1:1">
      <c r="A650">
        <v>367</v>
      </c>
    </row>
    <row r="651" spans="1:1">
      <c r="A651">
        <v>113</v>
      </c>
    </row>
    <row r="652" spans="1:1">
      <c r="A652">
        <v>64</v>
      </c>
    </row>
    <row r="653" spans="1:1">
      <c r="A653">
        <v>43</v>
      </c>
    </row>
    <row r="654" spans="1:1">
      <c r="A654">
        <v>90</v>
      </c>
    </row>
    <row r="655" spans="1:1">
      <c r="A655">
        <v>216</v>
      </c>
    </row>
    <row r="656" spans="1:1">
      <c r="A656">
        <v>247</v>
      </c>
    </row>
    <row r="657" spans="1:1">
      <c r="A657">
        <v>289</v>
      </c>
    </row>
    <row r="658" spans="1:1">
      <c r="A658">
        <v>229</v>
      </c>
    </row>
    <row r="659" spans="1:1">
      <c r="A659">
        <v>24</v>
      </c>
    </row>
    <row r="660" spans="1:1">
      <c r="A660">
        <v>130</v>
      </c>
    </row>
    <row r="661" spans="1:1">
      <c r="A661">
        <v>99</v>
      </c>
    </row>
    <row r="662" spans="1:1">
      <c r="A662">
        <v>49</v>
      </c>
    </row>
    <row r="663" spans="1:1">
      <c r="A663">
        <v>165</v>
      </c>
    </row>
    <row r="664" spans="1:1">
      <c r="A664">
        <v>7</v>
      </c>
    </row>
    <row r="665" spans="1:1">
      <c r="A665">
        <v>182</v>
      </c>
    </row>
    <row r="666" spans="1:1">
      <c r="A666">
        <v>168</v>
      </c>
    </row>
    <row r="667" spans="1:1">
      <c r="A667">
        <v>48</v>
      </c>
    </row>
    <row r="668" spans="1:1">
      <c r="A668">
        <v>186</v>
      </c>
    </row>
    <row r="669" spans="1:1">
      <c r="A669">
        <v>101</v>
      </c>
    </row>
    <row r="670" spans="1:1">
      <c r="A670">
        <v>13</v>
      </c>
    </row>
    <row r="671" spans="1:1">
      <c r="A671">
        <v>295</v>
      </c>
    </row>
    <row r="672" spans="1:1">
      <c r="A672">
        <v>47</v>
      </c>
    </row>
    <row r="673" spans="1:1">
      <c r="A673">
        <v>113</v>
      </c>
    </row>
    <row r="674" spans="1:1">
      <c r="A674">
        <v>43</v>
      </c>
    </row>
    <row r="675" spans="1:1">
      <c r="A675">
        <v>55</v>
      </c>
    </row>
    <row r="676" spans="1:1">
      <c r="A676">
        <v>270</v>
      </c>
    </row>
    <row r="677" spans="1:1">
      <c r="A677">
        <v>121</v>
      </c>
    </row>
    <row r="678" spans="1:1">
      <c r="A678">
        <v>223</v>
      </c>
    </row>
    <row r="679" spans="1:1">
      <c r="A679">
        <v>374</v>
      </c>
    </row>
    <row r="680" spans="1:1">
      <c r="A680">
        <v>10</v>
      </c>
    </row>
    <row r="681" spans="1:1">
      <c r="A681">
        <v>18</v>
      </c>
    </row>
    <row r="682" spans="1:1">
      <c r="A682">
        <v>170</v>
      </c>
    </row>
    <row r="683" spans="1:1">
      <c r="A683">
        <v>14</v>
      </c>
    </row>
    <row r="684" spans="1:1">
      <c r="A684">
        <v>66</v>
      </c>
    </row>
    <row r="685" spans="1:1">
      <c r="A685">
        <v>253</v>
      </c>
    </row>
    <row r="686" spans="1:1">
      <c r="A686">
        <v>165</v>
      </c>
    </row>
    <row r="687" spans="1:1">
      <c r="A687">
        <v>147</v>
      </c>
    </row>
    <row r="688" spans="1:1">
      <c r="A688">
        <v>152</v>
      </c>
    </row>
    <row r="689" spans="1:1">
      <c r="A689">
        <v>150</v>
      </c>
    </row>
    <row r="690" spans="1:1">
      <c r="A690">
        <v>171</v>
      </c>
    </row>
    <row r="691" spans="1:1">
      <c r="A691">
        <v>189</v>
      </c>
    </row>
    <row r="692" spans="1:1">
      <c r="A692">
        <v>19</v>
      </c>
    </row>
    <row r="693" spans="1:1">
      <c r="A693">
        <v>6</v>
      </c>
    </row>
    <row r="694" spans="1:1">
      <c r="A694">
        <v>32</v>
      </c>
    </row>
    <row r="695" spans="1:1">
      <c r="A695">
        <v>4</v>
      </c>
    </row>
    <row r="696" spans="1:1">
      <c r="A696">
        <v>174</v>
      </c>
    </row>
    <row r="697" spans="1:1">
      <c r="A697">
        <v>247</v>
      </c>
    </row>
    <row r="698" spans="1:1">
      <c r="A698">
        <v>162</v>
      </c>
    </row>
    <row r="699" spans="1:1">
      <c r="A699">
        <v>107</v>
      </c>
    </row>
    <row r="700" spans="1:1">
      <c r="A700">
        <v>104</v>
      </c>
    </row>
    <row r="701" spans="1:1">
      <c r="A701">
        <v>2</v>
      </c>
    </row>
    <row r="702" spans="1:1">
      <c r="A702">
        <v>32</v>
      </c>
    </row>
    <row r="703" spans="1:1">
      <c r="A703">
        <v>16</v>
      </c>
    </row>
    <row r="704" spans="1:1">
      <c r="A704">
        <v>83</v>
      </c>
    </row>
    <row r="705" spans="1:1">
      <c r="A705">
        <v>62</v>
      </c>
    </row>
    <row r="706" spans="1:1">
      <c r="A706">
        <v>215</v>
      </c>
    </row>
    <row r="707" spans="1:1">
      <c r="A707">
        <v>39</v>
      </c>
    </row>
    <row r="708" spans="1:1">
      <c r="A708">
        <v>8</v>
      </c>
    </row>
    <row r="709" spans="1:1">
      <c r="A709">
        <v>23</v>
      </c>
    </row>
    <row r="710" spans="1:1">
      <c r="A710">
        <v>106</v>
      </c>
    </row>
    <row r="711" spans="1:1">
      <c r="A711">
        <v>30</v>
      </c>
    </row>
    <row r="712" spans="1:1">
      <c r="A712">
        <v>109</v>
      </c>
    </row>
    <row r="713" spans="1:1">
      <c r="A713">
        <v>54</v>
      </c>
    </row>
    <row r="714" spans="1:1">
      <c r="A714">
        <v>23</v>
      </c>
    </row>
    <row r="715" spans="1:1">
      <c r="A715">
        <v>76</v>
      </c>
    </row>
    <row r="716" spans="1:1">
      <c r="A716">
        <v>121</v>
      </c>
    </row>
    <row r="717" spans="1:1">
      <c r="A717">
        <v>305</v>
      </c>
    </row>
    <row r="718" spans="1:1">
      <c r="A718">
        <v>84</v>
      </c>
    </row>
    <row r="719" spans="1:1">
      <c r="A719">
        <v>42</v>
      </c>
    </row>
    <row r="720" spans="1:1">
      <c r="A720">
        <v>1</v>
      </c>
    </row>
    <row r="721" spans="1:1">
      <c r="A721">
        <v>155</v>
      </c>
    </row>
    <row r="722" spans="1:1">
      <c r="A722">
        <v>185</v>
      </c>
    </row>
    <row r="723" spans="1:1">
      <c r="A723">
        <v>61</v>
      </c>
    </row>
    <row r="724" spans="1:1">
      <c r="A724">
        <v>187</v>
      </c>
    </row>
    <row r="725" spans="1:1">
      <c r="A725">
        <v>31</v>
      </c>
    </row>
    <row r="726" spans="1:1">
      <c r="A726">
        <v>487</v>
      </c>
    </row>
    <row r="727" spans="1:1">
      <c r="A727">
        <v>108</v>
      </c>
    </row>
    <row r="728" spans="1:1">
      <c r="A728">
        <v>222</v>
      </c>
    </row>
    <row r="729" spans="1:1">
      <c r="A729">
        <v>230</v>
      </c>
    </row>
    <row r="730" spans="1:1">
      <c r="A730">
        <v>77</v>
      </c>
    </row>
    <row r="731" spans="1:1">
      <c r="A731">
        <v>59</v>
      </c>
    </row>
    <row r="732" spans="1:1">
      <c r="A732">
        <v>319</v>
      </c>
    </row>
    <row r="733" spans="1:1">
      <c r="A733">
        <v>268</v>
      </c>
    </row>
    <row r="734" spans="1:1">
      <c r="A734">
        <v>127</v>
      </c>
    </row>
    <row r="735" spans="1:1">
      <c r="A735">
        <v>268</v>
      </c>
    </row>
    <row r="736" spans="1:1">
      <c r="A736">
        <v>71</v>
      </c>
    </row>
  </sheetData>
  <sortState xmlns:xlrd2="http://schemas.microsoft.com/office/spreadsheetml/2017/richdata2" ref="I2:I20">
    <sortCondition ref="I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16F7-74E1-409E-9CE6-AA42B86C4A32}">
  <dimension ref="A1:L56"/>
  <sheetViews>
    <sheetView zoomScale="70" zoomScaleNormal="70" workbookViewId="0">
      <selection activeCell="B1" sqref="B1"/>
    </sheetView>
  </sheetViews>
  <sheetFormatPr defaultRowHeight="14.5"/>
  <cols>
    <col min="7" max="7" width="11.1796875" customWidth="1"/>
    <col min="12" max="12" width="18.08984375" customWidth="1"/>
  </cols>
  <sheetData>
    <row r="1" spans="1:12">
      <c r="A1" t="s">
        <v>1060</v>
      </c>
      <c r="B1">
        <v>12</v>
      </c>
    </row>
    <row r="2" spans="1:12">
      <c r="A2" t="s">
        <v>1061</v>
      </c>
      <c r="B2">
        <v>19</v>
      </c>
    </row>
    <row r="3" spans="1:12">
      <c r="A3" t="s">
        <v>1059</v>
      </c>
      <c r="B3">
        <v>50</v>
      </c>
    </row>
    <row r="4" spans="1:12">
      <c r="A4" t="s">
        <v>1062</v>
      </c>
      <c r="B4">
        <v>7</v>
      </c>
    </row>
    <row r="6" spans="1:12">
      <c r="A6" t="s">
        <v>1063</v>
      </c>
      <c r="B6" t="s">
        <v>1064</v>
      </c>
      <c r="C6" t="s">
        <v>1065</v>
      </c>
      <c r="E6" t="s">
        <v>1066</v>
      </c>
      <c r="F6" t="s">
        <v>1063</v>
      </c>
      <c r="G6" t="s">
        <v>1067</v>
      </c>
      <c r="H6" t="s">
        <v>1068</v>
      </c>
      <c r="I6" t="s">
        <v>1053</v>
      </c>
      <c r="J6" t="s">
        <v>1069</v>
      </c>
      <c r="L6" t="s">
        <v>1070</v>
      </c>
    </row>
    <row r="7" spans="1:12">
      <c r="A7">
        <v>0</v>
      </c>
      <c r="B7">
        <f>$B$4</f>
        <v>7</v>
      </c>
      <c r="C7">
        <f>B7/$B$3</f>
        <v>0.14000000000000001</v>
      </c>
      <c r="E7">
        <f>SMALL($C$7:$C$56,ROW(A1))</f>
        <v>0.06</v>
      </c>
      <c r="F7" s="7">
        <v>1</v>
      </c>
      <c r="G7">
        <f>F7/$I$7 - E7</f>
        <v>-3.9999999999999994E-2</v>
      </c>
      <c r="H7">
        <f>E7 - (F7-1)/$I$7</f>
        <v>0.06</v>
      </c>
      <c r="I7">
        <v>50</v>
      </c>
      <c r="J7">
        <f>MAX(G7:H7)</f>
        <v>0.06</v>
      </c>
      <c r="L7">
        <f>MAX(J7:J56)</f>
        <v>6.0000000000000053E-2</v>
      </c>
    </row>
    <row r="8" spans="1:12">
      <c r="A8">
        <f>A7+1</f>
        <v>1</v>
      </c>
      <c r="B8">
        <f>MOD($B$1*B7+$B$2,$B$3)</f>
        <v>3</v>
      </c>
      <c r="C8">
        <f>B8/$B$3</f>
        <v>0.06</v>
      </c>
      <c r="E8">
        <f t="shared" ref="E8:E56" si="0">SMALL($C$7:$C$56,ROW(A2))</f>
        <v>0.06</v>
      </c>
      <c r="F8">
        <f>F7+1</f>
        <v>2</v>
      </c>
      <c r="G8">
        <f t="shared" ref="G8:G12" si="1">F8/$I$7 - E8</f>
        <v>-1.9999999999999997E-2</v>
      </c>
      <c r="H8">
        <f t="shared" ref="H8:H12" si="2">E8 - (F8-1)/$I$7</f>
        <v>3.9999999999999994E-2</v>
      </c>
      <c r="J8">
        <f t="shared" ref="J8:J12" si="3">MAX(G8:H8)</f>
        <v>3.9999999999999994E-2</v>
      </c>
      <c r="L8" t="s">
        <v>1071</v>
      </c>
    </row>
    <row r="9" spans="1:12">
      <c r="A9">
        <f t="shared" ref="A9:A17" si="4">A8+1</f>
        <v>2</v>
      </c>
      <c r="B9">
        <f t="shared" ref="B9:B17" si="5">MOD($B$1*B8+$B$2,$B$3)</f>
        <v>5</v>
      </c>
      <c r="C9">
        <f t="shared" ref="C9:C56" si="6">B9/$B$3</f>
        <v>0.1</v>
      </c>
      <c r="E9">
        <f t="shared" si="0"/>
        <v>0.06</v>
      </c>
      <c r="F9">
        <f t="shared" ref="F9:F56" si="7">F8+1</f>
        <v>3</v>
      </c>
      <c r="G9">
        <f t="shared" si="1"/>
        <v>0</v>
      </c>
      <c r="H9">
        <f t="shared" si="2"/>
        <v>1.9999999999999997E-2</v>
      </c>
      <c r="J9">
        <f t="shared" si="3"/>
        <v>1.9999999999999997E-2</v>
      </c>
      <c r="L9">
        <f>1.36/SQRT($I$7)</f>
        <v>0.19233304448274094</v>
      </c>
    </row>
    <row r="10" spans="1:12">
      <c r="A10">
        <f t="shared" si="4"/>
        <v>3</v>
      </c>
      <c r="B10">
        <f t="shared" si="5"/>
        <v>29</v>
      </c>
      <c r="C10">
        <f t="shared" si="6"/>
        <v>0.57999999999999996</v>
      </c>
      <c r="E10">
        <f t="shared" si="0"/>
        <v>0.1</v>
      </c>
      <c r="F10">
        <f t="shared" si="7"/>
        <v>4</v>
      </c>
      <c r="G10">
        <f t="shared" si="1"/>
        <v>-2.0000000000000004E-2</v>
      </c>
      <c r="H10">
        <f t="shared" si="2"/>
        <v>4.0000000000000008E-2</v>
      </c>
      <c r="J10">
        <f t="shared" si="3"/>
        <v>4.0000000000000008E-2</v>
      </c>
      <c r="L10" t="s">
        <v>1058</v>
      </c>
    </row>
    <row r="11" spans="1:12">
      <c r="A11">
        <f t="shared" si="4"/>
        <v>4</v>
      </c>
      <c r="B11">
        <f t="shared" si="5"/>
        <v>17</v>
      </c>
      <c r="C11">
        <f t="shared" si="6"/>
        <v>0.34</v>
      </c>
      <c r="E11">
        <f t="shared" si="0"/>
        <v>0.1</v>
      </c>
      <c r="F11">
        <f t="shared" si="7"/>
        <v>5</v>
      </c>
      <c r="G11">
        <f t="shared" si="1"/>
        <v>0</v>
      </c>
      <c r="H11">
        <f t="shared" si="2"/>
        <v>2.0000000000000004E-2</v>
      </c>
      <c r="J11">
        <f t="shared" si="3"/>
        <v>2.0000000000000004E-2</v>
      </c>
      <c r="L11" t="str">
        <f>IF(L7&lt;=L9,"KABUL (Uniform)","RED (Uniform değil)")</f>
        <v>KABUL (Uniform)</v>
      </c>
    </row>
    <row r="12" spans="1:12">
      <c r="A12">
        <f t="shared" si="4"/>
        <v>5</v>
      </c>
      <c r="B12">
        <f t="shared" si="5"/>
        <v>23</v>
      </c>
      <c r="C12">
        <f t="shared" si="6"/>
        <v>0.46</v>
      </c>
      <c r="E12">
        <f t="shared" si="0"/>
        <v>0.1</v>
      </c>
      <c r="F12">
        <f t="shared" si="7"/>
        <v>6</v>
      </c>
      <c r="G12">
        <f t="shared" si="1"/>
        <v>1.999999999999999E-2</v>
      </c>
      <c r="H12">
        <f t="shared" si="2"/>
        <v>0</v>
      </c>
      <c r="J12">
        <f t="shared" si="3"/>
        <v>1.999999999999999E-2</v>
      </c>
    </row>
    <row r="13" spans="1:12">
      <c r="A13">
        <f>A12+1</f>
        <v>6</v>
      </c>
      <c r="B13">
        <f t="shared" si="5"/>
        <v>45</v>
      </c>
      <c r="C13">
        <f t="shared" si="6"/>
        <v>0.9</v>
      </c>
      <c r="E13">
        <f t="shared" si="0"/>
        <v>0.14000000000000001</v>
      </c>
      <c r="F13">
        <f t="shared" si="7"/>
        <v>7</v>
      </c>
      <c r="G13">
        <f t="shared" ref="G13:G23" si="8">F13/$I$7 - E13</f>
        <v>0</v>
      </c>
      <c r="H13">
        <f t="shared" ref="H13:H23" si="9">E13 - (F13-1)/$I$7</f>
        <v>2.0000000000000018E-2</v>
      </c>
      <c r="J13">
        <f t="shared" ref="J13:J23" si="10">MAX(G13:H13)</f>
        <v>2.0000000000000018E-2</v>
      </c>
    </row>
    <row r="14" spans="1:12">
      <c r="A14">
        <f t="shared" si="4"/>
        <v>7</v>
      </c>
      <c r="B14">
        <f t="shared" si="5"/>
        <v>9</v>
      </c>
      <c r="C14">
        <f t="shared" si="6"/>
        <v>0.18</v>
      </c>
      <c r="E14">
        <f t="shared" si="0"/>
        <v>0.14000000000000001</v>
      </c>
      <c r="F14">
        <f t="shared" si="7"/>
        <v>8</v>
      </c>
      <c r="G14">
        <f t="shared" si="8"/>
        <v>1.999999999999999E-2</v>
      </c>
      <c r="H14">
        <f t="shared" si="9"/>
        <v>0</v>
      </c>
      <c r="J14">
        <f t="shared" si="10"/>
        <v>1.999999999999999E-2</v>
      </c>
    </row>
    <row r="15" spans="1:12">
      <c r="A15">
        <f t="shared" si="4"/>
        <v>8</v>
      </c>
      <c r="B15">
        <f t="shared" si="5"/>
        <v>27</v>
      </c>
      <c r="C15">
        <f t="shared" si="6"/>
        <v>0.54</v>
      </c>
      <c r="E15">
        <f t="shared" si="0"/>
        <v>0.14000000000000001</v>
      </c>
      <c r="F15">
        <f t="shared" si="7"/>
        <v>9</v>
      </c>
      <c r="G15">
        <f t="shared" si="8"/>
        <v>3.999999999999998E-2</v>
      </c>
      <c r="H15">
        <f t="shared" si="9"/>
        <v>-1.999999999999999E-2</v>
      </c>
      <c r="J15">
        <f t="shared" si="10"/>
        <v>3.999999999999998E-2</v>
      </c>
    </row>
    <row r="16" spans="1:12">
      <c r="A16">
        <f t="shared" si="4"/>
        <v>9</v>
      </c>
      <c r="B16">
        <f t="shared" si="5"/>
        <v>43</v>
      </c>
      <c r="C16">
        <f t="shared" si="6"/>
        <v>0.86</v>
      </c>
      <c r="E16">
        <f t="shared" si="0"/>
        <v>0.18</v>
      </c>
      <c r="F16">
        <f t="shared" si="7"/>
        <v>10</v>
      </c>
      <c r="G16">
        <f t="shared" si="8"/>
        <v>2.0000000000000018E-2</v>
      </c>
      <c r="H16">
        <f t="shared" si="9"/>
        <v>0</v>
      </c>
      <c r="J16">
        <f t="shared" si="10"/>
        <v>2.0000000000000018E-2</v>
      </c>
    </row>
    <row r="17" spans="1:10">
      <c r="A17">
        <f t="shared" si="4"/>
        <v>10</v>
      </c>
      <c r="B17">
        <f t="shared" si="5"/>
        <v>35</v>
      </c>
      <c r="C17">
        <f t="shared" si="6"/>
        <v>0.7</v>
      </c>
      <c r="E17">
        <f t="shared" si="0"/>
        <v>0.18</v>
      </c>
      <c r="F17">
        <f t="shared" si="7"/>
        <v>11</v>
      </c>
      <c r="G17">
        <f t="shared" si="8"/>
        <v>4.0000000000000008E-2</v>
      </c>
      <c r="H17">
        <f t="shared" si="9"/>
        <v>-2.0000000000000018E-2</v>
      </c>
      <c r="J17">
        <f t="shared" si="10"/>
        <v>4.0000000000000008E-2</v>
      </c>
    </row>
    <row r="18" spans="1:10">
      <c r="A18">
        <f t="shared" ref="A18:A56" si="11">A17+1</f>
        <v>11</v>
      </c>
      <c r="B18">
        <f t="shared" ref="B18:B56" si="12">MOD($B$1*B17+$B$2,$B$3)</f>
        <v>39</v>
      </c>
      <c r="C18">
        <f t="shared" si="6"/>
        <v>0.78</v>
      </c>
      <c r="E18">
        <f t="shared" si="0"/>
        <v>0.18</v>
      </c>
      <c r="F18">
        <f t="shared" si="7"/>
        <v>12</v>
      </c>
      <c r="G18">
        <f t="shared" si="8"/>
        <v>0.06</v>
      </c>
      <c r="H18">
        <f t="shared" si="9"/>
        <v>-4.0000000000000008E-2</v>
      </c>
      <c r="J18">
        <f t="shared" si="10"/>
        <v>0.06</v>
      </c>
    </row>
    <row r="19" spans="1:10">
      <c r="A19">
        <f t="shared" si="11"/>
        <v>12</v>
      </c>
      <c r="B19">
        <f t="shared" si="12"/>
        <v>37</v>
      </c>
      <c r="C19">
        <f t="shared" si="6"/>
        <v>0.74</v>
      </c>
      <c r="E19">
        <f t="shared" si="0"/>
        <v>0.26</v>
      </c>
      <c r="F19">
        <f t="shared" si="7"/>
        <v>13</v>
      </c>
      <c r="G19">
        <f t="shared" si="8"/>
        <v>0</v>
      </c>
      <c r="H19">
        <f t="shared" si="9"/>
        <v>2.0000000000000018E-2</v>
      </c>
      <c r="J19">
        <f t="shared" si="10"/>
        <v>2.0000000000000018E-2</v>
      </c>
    </row>
    <row r="20" spans="1:10">
      <c r="A20">
        <f t="shared" si="11"/>
        <v>13</v>
      </c>
      <c r="B20">
        <f t="shared" si="12"/>
        <v>13</v>
      </c>
      <c r="C20">
        <f t="shared" si="6"/>
        <v>0.26</v>
      </c>
      <c r="E20">
        <f t="shared" si="0"/>
        <v>0.26</v>
      </c>
      <c r="F20">
        <f t="shared" si="7"/>
        <v>14</v>
      </c>
      <c r="G20">
        <f t="shared" si="8"/>
        <v>2.0000000000000018E-2</v>
      </c>
      <c r="H20">
        <f t="shared" si="9"/>
        <v>0</v>
      </c>
      <c r="J20">
        <f t="shared" si="10"/>
        <v>2.0000000000000018E-2</v>
      </c>
    </row>
    <row r="21" spans="1:10">
      <c r="A21">
        <f t="shared" si="11"/>
        <v>14</v>
      </c>
      <c r="B21">
        <f t="shared" si="12"/>
        <v>25</v>
      </c>
      <c r="C21">
        <f t="shared" si="6"/>
        <v>0.5</v>
      </c>
      <c r="E21">
        <f t="shared" si="0"/>
        <v>0.3</v>
      </c>
      <c r="F21">
        <f t="shared" si="7"/>
        <v>15</v>
      </c>
      <c r="G21">
        <f t="shared" si="8"/>
        <v>0</v>
      </c>
      <c r="H21">
        <f t="shared" si="9"/>
        <v>1.9999999999999962E-2</v>
      </c>
      <c r="J21">
        <f t="shared" si="10"/>
        <v>1.9999999999999962E-2</v>
      </c>
    </row>
    <row r="22" spans="1:10">
      <c r="A22">
        <f t="shared" si="11"/>
        <v>15</v>
      </c>
      <c r="B22">
        <f t="shared" si="12"/>
        <v>19</v>
      </c>
      <c r="C22">
        <f t="shared" si="6"/>
        <v>0.38</v>
      </c>
      <c r="E22">
        <f t="shared" si="0"/>
        <v>0.3</v>
      </c>
      <c r="F22">
        <f t="shared" si="7"/>
        <v>16</v>
      </c>
      <c r="G22">
        <f t="shared" si="8"/>
        <v>2.0000000000000018E-2</v>
      </c>
      <c r="H22">
        <f t="shared" si="9"/>
        <v>0</v>
      </c>
      <c r="J22">
        <f t="shared" si="10"/>
        <v>2.0000000000000018E-2</v>
      </c>
    </row>
    <row r="23" spans="1:10">
      <c r="A23">
        <f t="shared" si="11"/>
        <v>16</v>
      </c>
      <c r="B23">
        <f t="shared" si="12"/>
        <v>47</v>
      </c>
      <c r="C23">
        <f t="shared" si="6"/>
        <v>0.94</v>
      </c>
      <c r="E23">
        <f t="shared" si="0"/>
        <v>0.34</v>
      </c>
      <c r="F23">
        <f t="shared" si="7"/>
        <v>17</v>
      </c>
      <c r="G23">
        <f t="shared" si="8"/>
        <v>0</v>
      </c>
      <c r="H23">
        <f t="shared" si="9"/>
        <v>2.0000000000000018E-2</v>
      </c>
      <c r="J23">
        <f t="shared" si="10"/>
        <v>2.0000000000000018E-2</v>
      </c>
    </row>
    <row r="24" spans="1:10">
      <c r="A24">
        <f t="shared" si="11"/>
        <v>17</v>
      </c>
      <c r="B24">
        <f t="shared" si="12"/>
        <v>33</v>
      </c>
      <c r="C24">
        <f t="shared" si="6"/>
        <v>0.66</v>
      </c>
      <c r="E24">
        <f t="shared" si="0"/>
        <v>0.34</v>
      </c>
      <c r="F24">
        <f t="shared" si="7"/>
        <v>18</v>
      </c>
      <c r="G24">
        <f t="shared" ref="G24:G56" si="13">F24/$I$7 - E24</f>
        <v>1.9999999999999962E-2</v>
      </c>
      <c r="H24">
        <f t="shared" ref="H24:H56" si="14">E24 - (F24-1)/$I$7</f>
        <v>0</v>
      </c>
      <c r="J24">
        <f t="shared" ref="J24:J56" si="15">MAX(G24:H24)</f>
        <v>1.9999999999999962E-2</v>
      </c>
    </row>
    <row r="25" spans="1:10">
      <c r="A25">
        <f t="shared" si="11"/>
        <v>18</v>
      </c>
      <c r="B25">
        <f t="shared" si="12"/>
        <v>15</v>
      </c>
      <c r="C25">
        <f t="shared" si="6"/>
        <v>0.3</v>
      </c>
      <c r="E25">
        <f t="shared" si="0"/>
        <v>0.34</v>
      </c>
      <c r="F25">
        <f t="shared" si="7"/>
        <v>19</v>
      </c>
      <c r="G25">
        <f t="shared" si="13"/>
        <v>3.999999999999998E-2</v>
      </c>
      <c r="H25">
        <f t="shared" si="14"/>
        <v>-1.9999999999999962E-2</v>
      </c>
      <c r="J25">
        <f t="shared" si="15"/>
        <v>3.999999999999998E-2</v>
      </c>
    </row>
    <row r="26" spans="1:10">
      <c r="A26">
        <f t="shared" si="11"/>
        <v>19</v>
      </c>
      <c r="B26">
        <f t="shared" si="12"/>
        <v>49</v>
      </c>
      <c r="C26">
        <f t="shared" si="6"/>
        <v>0.98</v>
      </c>
      <c r="E26">
        <f t="shared" si="0"/>
        <v>0.38</v>
      </c>
      <c r="F26">
        <f t="shared" si="7"/>
        <v>20</v>
      </c>
      <c r="G26">
        <f t="shared" si="13"/>
        <v>2.0000000000000018E-2</v>
      </c>
      <c r="H26">
        <f t="shared" si="14"/>
        <v>0</v>
      </c>
      <c r="J26">
        <f t="shared" si="15"/>
        <v>2.0000000000000018E-2</v>
      </c>
    </row>
    <row r="27" spans="1:10">
      <c r="A27">
        <f t="shared" si="11"/>
        <v>20</v>
      </c>
      <c r="B27">
        <f t="shared" si="12"/>
        <v>7</v>
      </c>
      <c r="C27">
        <f t="shared" si="6"/>
        <v>0.14000000000000001</v>
      </c>
      <c r="E27">
        <f t="shared" si="0"/>
        <v>0.38</v>
      </c>
      <c r="F27">
        <f t="shared" si="7"/>
        <v>21</v>
      </c>
      <c r="G27">
        <f t="shared" si="13"/>
        <v>3.999999999999998E-2</v>
      </c>
      <c r="H27">
        <f t="shared" si="14"/>
        <v>-2.0000000000000018E-2</v>
      </c>
      <c r="J27">
        <f t="shared" si="15"/>
        <v>3.999999999999998E-2</v>
      </c>
    </row>
    <row r="28" spans="1:10">
      <c r="A28">
        <f t="shared" si="11"/>
        <v>21</v>
      </c>
      <c r="B28">
        <f t="shared" si="12"/>
        <v>3</v>
      </c>
      <c r="C28">
        <f t="shared" si="6"/>
        <v>0.06</v>
      </c>
      <c r="E28">
        <f t="shared" si="0"/>
        <v>0.46</v>
      </c>
      <c r="F28">
        <f t="shared" si="7"/>
        <v>22</v>
      </c>
      <c r="G28">
        <f t="shared" si="13"/>
        <v>-2.0000000000000018E-2</v>
      </c>
      <c r="H28">
        <f t="shared" si="14"/>
        <v>4.0000000000000036E-2</v>
      </c>
      <c r="J28">
        <f t="shared" si="15"/>
        <v>4.0000000000000036E-2</v>
      </c>
    </row>
    <row r="29" spans="1:10">
      <c r="A29">
        <f t="shared" si="11"/>
        <v>22</v>
      </c>
      <c r="B29">
        <f t="shared" si="12"/>
        <v>5</v>
      </c>
      <c r="C29">
        <f t="shared" si="6"/>
        <v>0.1</v>
      </c>
      <c r="E29">
        <f t="shared" si="0"/>
        <v>0.46</v>
      </c>
      <c r="F29">
        <f t="shared" si="7"/>
        <v>23</v>
      </c>
      <c r="G29">
        <f t="shared" si="13"/>
        <v>0</v>
      </c>
      <c r="H29">
        <f t="shared" si="14"/>
        <v>2.0000000000000018E-2</v>
      </c>
      <c r="J29">
        <f t="shared" si="15"/>
        <v>2.0000000000000018E-2</v>
      </c>
    </row>
    <row r="30" spans="1:10">
      <c r="A30">
        <f t="shared" si="11"/>
        <v>23</v>
      </c>
      <c r="B30">
        <f t="shared" si="12"/>
        <v>29</v>
      </c>
      <c r="C30">
        <f t="shared" si="6"/>
        <v>0.57999999999999996</v>
      </c>
      <c r="E30">
        <f t="shared" si="0"/>
        <v>0.46</v>
      </c>
      <c r="F30">
        <f t="shared" si="7"/>
        <v>24</v>
      </c>
      <c r="G30">
        <f t="shared" si="13"/>
        <v>1.9999999999999962E-2</v>
      </c>
      <c r="H30">
        <f t="shared" si="14"/>
        <v>0</v>
      </c>
      <c r="J30">
        <f t="shared" si="15"/>
        <v>1.9999999999999962E-2</v>
      </c>
    </row>
    <row r="31" spans="1:10">
      <c r="A31">
        <f t="shared" si="11"/>
        <v>24</v>
      </c>
      <c r="B31">
        <f t="shared" si="12"/>
        <v>17</v>
      </c>
      <c r="C31">
        <f t="shared" si="6"/>
        <v>0.34</v>
      </c>
      <c r="E31">
        <f t="shared" si="0"/>
        <v>0.5</v>
      </c>
      <c r="F31">
        <f t="shared" si="7"/>
        <v>25</v>
      </c>
      <c r="G31">
        <f t="shared" si="13"/>
        <v>0</v>
      </c>
      <c r="H31">
        <f t="shared" si="14"/>
        <v>2.0000000000000018E-2</v>
      </c>
      <c r="J31">
        <f t="shared" si="15"/>
        <v>2.0000000000000018E-2</v>
      </c>
    </row>
    <row r="32" spans="1:10">
      <c r="A32">
        <f t="shared" si="11"/>
        <v>25</v>
      </c>
      <c r="B32">
        <f t="shared" si="12"/>
        <v>23</v>
      </c>
      <c r="C32">
        <f t="shared" si="6"/>
        <v>0.46</v>
      </c>
      <c r="E32">
        <f t="shared" si="0"/>
        <v>0.5</v>
      </c>
      <c r="F32">
        <f t="shared" si="7"/>
        <v>26</v>
      </c>
      <c r="G32">
        <f t="shared" si="13"/>
        <v>2.0000000000000018E-2</v>
      </c>
      <c r="H32">
        <f t="shared" si="14"/>
        <v>0</v>
      </c>
      <c r="J32">
        <f t="shared" si="15"/>
        <v>2.0000000000000018E-2</v>
      </c>
    </row>
    <row r="33" spans="1:10">
      <c r="A33">
        <f t="shared" si="11"/>
        <v>26</v>
      </c>
      <c r="B33">
        <f t="shared" si="12"/>
        <v>45</v>
      </c>
      <c r="C33">
        <f t="shared" si="6"/>
        <v>0.9</v>
      </c>
      <c r="E33">
        <f t="shared" si="0"/>
        <v>0.54</v>
      </c>
      <c r="F33">
        <f t="shared" si="7"/>
        <v>27</v>
      </c>
      <c r="G33">
        <f t="shared" si="13"/>
        <v>0</v>
      </c>
      <c r="H33">
        <f t="shared" si="14"/>
        <v>2.0000000000000018E-2</v>
      </c>
      <c r="J33">
        <f t="shared" si="15"/>
        <v>2.0000000000000018E-2</v>
      </c>
    </row>
    <row r="34" spans="1:10">
      <c r="A34">
        <f t="shared" si="11"/>
        <v>27</v>
      </c>
      <c r="B34">
        <f t="shared" si="12"/>
        <v>9</v>
      </c>
      <c r="C34">
        <f t="shared" si="6"/>
        <v>0.18</v>
      </c>
      <c r="E34">
        <f t="shared" si="0"/>
        <v>0.54</v>
      </c>
      <c r="F34">
        <f t="shared" si="7"/>
        <v>28</v>
      </c>
      <c r="G34">
        <f t="shared" si="13"/>
        <v>2.0000000000000018E-2</v>
      </c>
      <c r="H34">
        <f t="shared" si="14"/>
        <v>0</v>
      </c>
      <c r="J34">
        <f t="shared" si="15"/>
        <v>2.0000000000000018E-2</v>
      </c>
    </row>
    <row r="35" spans="1:10">
      <c r="A35">
        <f t="shared" si="11"/>
        <v>28</v>
      </c>
      <c r="B35">
        <f t="shared" si="12"/>
        <v>27</v>
      </c>
      <c r="C35">
        <f t="shared" si="6"/>
        <v>0.54</v>
      </c>
      <c r="E35">
        <f t="shared" si="0"/>
        <v>0.54</v>
      </c>
      <c r="F35">
        <f t="shared" si="7"/>
        <v>29</v>
      </c>
      <c r="G35">
        <f t="shared" si="13"/>
        <v>3.9999999999999925E-2</v>
      </c>
      <c r="H35">
        <f t="shared" si="14"/>
        <v>-2.0000000000000018E-2</v>
      </c>
      <c r="J35">
        <f t="shared" si="15"/>
        <v>3.9999999999999925E-2</v>
      </c>
    </row>
    <row r="36" spans="1:10">
      <c r="A36">
        <f t="shared" si="11"/>
        <v>29</v>
      </c>
      <c r="B36">
        <f t="shared" si="12"/>
        <v>43</v>
      </c>
      <c r="C36">
        <f t="shared" si="6"/>
        <v>0.86</v>
      </c>
      <c r="E36">
        <f t="shared" si="0"/>
        <v>0.57999999999999996</v>
      </c>
      <c r="F36">
        <f t="shared" si="7"/>
        <v>30</v>
      </c>
      <c r="G36">
        <f t="shared" si="13"/>
        <v>2.0000000000000018E-2</v>
      </c>
      <c r="H36">
        <f t="shared" si="14"/>
        <v>0</v>
      </c>
      <c r="J36">
        <f t="shared" si="15"/>
        <v>2.0000000000000018E-2</v>
      </c>
    </row>
    <row r="37" spans="1:10">
      <c r="A37">
        <f t="shared" si="11"/>
        <v>30</v>
      </c>
      <c r="B37">
        <f t="shared" si="12"/>
        <v>35</v>
      </c>
      <c r="C37">
        <f t="shared" si="6"/>
        <v>0.7</v>
      </c>
      <c r="E37">
        <f t="shared" si="0"/>
        <v>0.57999999999999996</v>
      </c>
      <c r="F37">
        <f t="shared" si="7"/>
        <v>31</v>
      </c>
      <c r="G37">
        <f t="shared" si="13"/>
        <v>4.0000000000000036E-2</v>
      </c>
      <c r="H37">
        <f t="shared" si="14"/>
        <v>-2.0000000000000018E-2</v>
      </c>
      <c r="J37">
        <f t="shared" si="15"/>
        <v>4.0000000000000036E-2</v>
      </c>
    </row>
    <row r="38" spans="1:10">
      <c r="A38">
        <f t="shared" si="11"/>
        <v>31</v>
      </c>
      <c r="B38">
        <f t="shared" si="12"/>
        <v>39</v>
      </c>
      <c r="C38">
        <f t="shared" si="6"/>
        <v>0.78</v>
      </c>
      <c r="E38">
        <f t="shared" si="0"/>
        <v>0.57999999999999996</v>
      </c>
      <c r="F38">
        <f t="shared" si="7"/>
        <v>32</v>
      </c>
      <c r="G38">
        <f t="shared" si="13"/>
        <v>6.0000000000000053E-2</v>
      </c>
      <c r="H38">
        <f t="shared" si="14"/>
        <v>-4.0000000000000036E-2</v>
      </c>
      <c r="J38">
        <f t="shared" si="15"/>
        <v>6.0000000000000053E-2</v>
      </c>
    </row>
    <row r="39" spans="1:10">
      <c r="A39">
        <f t="shared" si="11"/>
        <v>32</v>
      </c>
      <c r="B39">
        <f t="shared" si="12"/>
        <v>37</v>
      </c>
      <c r="C39">
        <f t="shared" si="6"/>
        <v>0.74</v>
      </c>
      <c r="E39">
        <f t="shared" si="0"/>
        <v>0.66</v>
      </c>
      <c r="F39">
        <f t="shared" si="7"/>
        <v>33</v>
      </c>
      <c r="G39">
        <f t="shared" si="13"/>
        <v>0</v>
      </c>
      <c r="H39">
        <f t="shared" si="14"/>
        <v>2.0000000000000018E-2</v>
      </c>
      <c r="J39">
        <f t="shared" si="15"/>
        <v>2.0000000000000018E-2</v>
      </c>
    </row>
    <row r="40" spans="1:10">
      <c r="A40">
        <f t="shared" si="11"/>
        <v>33</v>
      </c>
      <c r="B40">
        <f t="shared" si="12"/>
        <v>13</v>
      </c>
      <c r="C40">
        <f t="shared" si="6"/>
        <v>0.26</v>
      </c>
      <c r="E40">
        <f t="shared" si="0"/>
        <v>0.66</v>
      </c>
      <c r="F40">
        <f t="shared" si="7"/>
        <v>34</v>
      </c>
      <c r="G40">
        <f t="shared" si="13"/>
        <v>2.0000000000000018E-2</v>
      </c>
      <c r="H40">
        <f t="shared" si="14"/>
        <v>0</v>
      </c>
      <c r="J40">
        <f t="shared" si="15"/>
        <v>2.0000000000000018E-2</v>
      </c>
    </row>
    <row r="41" spans="1:10">
      <c r="A41">
        <f t="shared" si="11"/>
        <v>34</v>
      </c>
      <c r="B41">
        <f t="shared" si="12"/>
        <v>25</v>
      </c>
      <c r="C41">
        <f t="shared" si="6"/>
        <v>0.5</v>
      </c>
      <c r="E41">
        <f t="shared" si="0"/>
        <v>0.7</v>
      </c>
      <c r="F41">
        <f t="shared" si="7"/>
        <v>35</v>
      </c>
      <c r="G41">
        <f t="shared" si="13"/>
        <v>0</v>
      </c>
      <c r="H41">
        <f t="shared" si="14"/>
        <v>1.9999999999999907E-2</v>
      </c>
      <c r="J41">
        <f t="shared" si="15"/>
        <v>1.9999999999999907E-2</v>
      </c>
    </row>
    <row r="42" spans="1:10">
      <c r="A42">
        <f t="shared" si="11"/>
        <v>35</v>
      </c>
      <c r="B42">
        <f t="shared" si="12"/>
        <v>19</v>
      </c>
      <c r="C42">
        <f t="shared" si="6"/>
        <v>0.38</v>
      </c>
      <c r="E42">
        <f t="shared" si="0"/>
        <v>0.7</v>
      </c>
      <c r="F42">
        <f t="shared" si="7"/>
        <v>36</v>
      </c>
      <c r="G42">
        <f t="shared" si="13"/>
        <v>2.0000000000000018E-2</v>
      </c>
      <c r="H42">
        <f t="shared" si="14"/>
        <v>0</v>
      </c>
      <c r="J42">
        <f t="shared" si="15"/>
        <v>2.0000000000000018E-2</v>
      </c>
    </row>
    <row r="43" spans="1:10">
      <c r="A43">
        <f t="shared" si="11"/>
        <v>36</v>
      </c>
      <c r="B43">
        <f t="shared" si="12"/>
        <v>47</v>
      </c>
      <c r="C43">
        <f t="shared" si="6"/>
        <v>0.94</v>
      </c>
      <c r="E43">
        <f t="shared" si="0"/>
        <v>0.74</v>
      </c>
      <c r="F43">
        <f t="shared" si="7"/>
        <v>37</v>
      </c>
      <c r="G43">
        <f t="shared" si="13"/>
        <v>0</v>
      </c>
      <c r="H43">
        <f t="shared" si="14"/>
        <v>2.0000000000000018E-2</v>
      </c>
      <c r="J43">
        <f t="shared" si="15"/>
        <v>2.0000000000000018E-2</v>
      </c>
    </row>
    <row r="44" spans="1:10">
      <c r="A44">
        <f t="shared" si="11"/>
        <v>37</v>
      </c>
      <c r="B44">
        <f t="shared" si="12"/>
        <v>33</v>
      </c>
      <c r="C44">
        <f t="shared" si="6"/>
        <v>0.66</v>
      </c>
      <c r="E44">
        <f t="shared" si="0"/>
        <v>0.74</v>
      </c>
      <c r="F44">
        <f t="shared" si="7"/>
        <v>38</v>
      </c>
      <c r="G44">
        <f t="shared" si="13"/>
        <v>2.0000000000000018E-2</v>
      </c>
      <c r="H44">
        <f t="shared" si="14"/>
        <v>0</v>
      </c>
      <c r="J44">
        <f t="shared" si="15"/>
        <v>2.0000000000000018E-2</v>
      </c>
    </row>
    <row r="45" spans="1:10">
      <c r="A45">
        <f t="shared" si="11"/>
        <v>38</v>
      </c>
      <c r="B45">
        <f t="shared" si="12"/>
        <v>15</v>
      </c>
      <c r="C45">
        <f t="shared" si="6"/>
        <v>0.3</v>
      </c>
      <c r="E45">
        <f t="shared" si="0"/>
        <v>0.78</v>
      </c>
      <c r="F45">
        <f t="shared" si="7"/>
        <v>39</v>
      </c>
      <c r="G45">
        <f t="shared" si="13"/>
        <v>0</v>
      </c>
      <c r="H45">
        <f t="shared" si="14"/>
        <v>2.0000000000000018E-2</v>
      </c>
      <c r="J45">
        <f t="shared" si="15"/>
        <v>2.0000000000000018E-2</v>
      </c>
    </row>
    <row r="46" spans="1:10">
      <c r="A46">
        <f t="shared" si="11"/>
        <v>39</v>
      </c>
      <c r="B46">
        <f t="shared" si="12"/>
        <v>49</v>
      </c>
      <c r="C46">
        <f t="shared" si="6"/>
        <v>0.98</v>
      </c>
      <c r="E46">
        <f t="shared" si="0"/>
        <v>0.78</v>
      </c>
      <c r="F46">
        <f t="shared" si="7"/>
        <v>40</v>
      </c>
      <c r="G46">
        <f t="shared" si="13"/>
        <v>2.0000000000000018E-2</v>
      </c>
      <c r="H46">
        <f t="shared" si="14"/>
        <v>0</v>
      </c>
      <c r="J46">
        <f t="shared" si="15"/>
        <v>2.0000000000000018E-2</v>
      </c>
    </row>
    <row r="47" spans="1:10">
      <c r="A47">
        <f t="shared" si="11"/>
        <v>40</v>
      </c>
      <c r="B47">
        <f t="shared" si="12"/>
        <v>7</v>
      </c>
      <c r="C47">
        <f t="shared" si="6"/>
        <v>0.14000000000000001</v>
      </c>
      <c r="E47">
        <f t="shared" si="0"/>
        <v>0.86</v>
      </c>
      <c r="F47">
        <f t="shared" si="7"/>
        <v>41</v>
      </c>
      <c r="G47">
        <f t="shared" si="13"/>
        <v>-4.0000000000000036E-2</v>
      </c>
      <c r="H47">
        <f t="shared" si="14"/>
        <v>5.9999999999999942E-2</v>
      </c>
      <c r="J47">
        <f t="shared" si="15"/>
        <v>5.9999999999999942E-2</v>
      </c>
    </row>
    <row r="48" spans="1:10">
      <c r="A48">
        <f t="shared" si="11"/>
        <v>41</v>
      </c>
      <c r="B48">
        <f t="shared" si="12"/>
        <v>3</v>
      </c>
      <c r="C48">
        <f t="shared" si="6"/>
        <v>0.06</v>
      </c>
      <c r="E48">
        <f t="shared" si="0"/>
        <v>0.86</v>
      </c>
      <c r="F48">
        <f t="shared" si="7"/>
        <v>42</v>
      </c>
      <c r="G48">
        <f t="shared" si="13"/>
        <v>-2.0000000000000018E-2</v>
      </c>
      <c r="H48">
        <f t="shared" si="14"/>
        <v>4.0000000000000036E-2</v>
      </c>
      <c r="J48">
        <f t="shared" si="15"/>
        <v>4.0000000000000036E-2</v>
      </c>
    </row>
    <row r="49" spans="1:10">
      <c r="A49">
        <f t="shared" si="11"/>
        <v>42</v>
      </c>
      <c r="B49">
        <f t="shared" si="12"/>
        <v>5</v>
      </c>
      <c r="C49">
        <f t="shared" si="6"/>
        <v>0.1</v>
      </c>
      <c r="E49">
        <f t="shared" si="0"/>
        <v>0.86</v>
      </c>
      <c r="F49">
        <f t="shared" si="7"/>
        <v>43</v>
      </c>
      <c r="G49">
        <f t="shared" si="13"/>
        <v>0</v>
      </c>
      <c r="H49">
        <f t="shared" si="14"/>
        <v>2.0000000000000018E-2</v>
      </c>
      <c r="J49">
        <f t="shared" si="15"/>
        <v>2.0000000000000018E-2</v>
      </c>
    </row>
    <row r="50" spans="1:10">
      <c r="A50">
        <f t="shared" si="11"/>
        <v>43</v>
      </c>
      <c r="B50">
        <f t="shared" si="12"/>
        <v>29</v>
      </c>
      <c r="C50">
        <f t="shared" si="6"/>
        <v>0.57999999999999996</v>
      </c>
      <c r="E50">
        <f t="shared" si="0"/>
        <v>0.9</v>
      </c>
      <c r="F50">
        <f t="shared" si="7"/>
        <v>44</v>
      </c>
      <c r="G50">
        <f t="shared" si="13"/>
        <v>-2.0000000000000018E-2</v>
      </c>
      <c r="H50">
        <f t="shared" si="14"/>
        <v>4.0000000000000036E-2</v>
      </c>
      <c r="J50">
        <f t="shared" si="15"/>
        <v>4.0000000000000036E-2</v>
      </c>
    </row>
    <row r="51" spans="1:10">
      <c r="A51">
        <f t="shared" si="11"/>
        <v>44</v>
      </c>
      <c r="B51">
        <f t="shared" si="12"/>
        <v>17</v>
      </c>
      <c r="C51">
        <f t="shared" si="6"/>
        <v>0.34</v>
      </c>
      <c r="E51">
        <f t="shared" si="0"/>
        <v>0.9</v>
      </c>
      <c r="F51">
        <f t="shared" si="7"/>
        <v>45</v>
      </c>
      <c r="G51">
        <f t="shared" si="13"/>
        <v>0</v>
      </c>
      <c r="H51">
        <f t="shared" si="14"/>
        <v>2.0000000000000018E-2</v>
      </c>
      <c r="J51">
        <f t="shared" si="15"/>
        <v>2.0000000000000018E-2</v>
      </c>
    </row>
    <row r="52" spans="1:10">
      <c r="A52">
        <f t="shared" si="11"/>
        <v>45</v>
      </c>
      <c r="B52">
        <f t="shared" si="12"/>
        <v>23</v>
      </c>
      <c r="C52">
        <f t="shared" si="6"/>
        <v>0.46</v>
      </c>
      <c r="E52">
        <f t="shared" si="0"/>
        <v>0.9</v>
      </c>
      <c r="F52">
        <f t="shared" si="7"/>
        <v>46</v>
      </c>
      <c r="G52">
        <f t="shared" si="13"/>
        <v>2.0000000000000018E-2</v>
      </c>
      <c r="H52">
        <f t="shared" si="14"/>
        <v>0</v>
      </c>
      <c r="J52">
        <f t="shared" si="15"/>
        <v>2.0000000000000018E-2</v>
      </c>
    </row>
    <row r="53" spans="1:10">
      <c r="A53">
        <f t="shared" si="11"/>
        <v>46</v>
      </c>
      <c r="B53">
        <f t="shared" si="12"/>
        <v>45</v>
      </c>
      <c r="C53">
        <f t="shared" si="6"/>
        <v>0.9</v>
      </c>
      <c r="E53">
        <f t="shared" si="0"/>
        <v>0.94</v>
      </c>
      <c r="F53">
        <f t="shared" si="7"/>
        <v>47</v>
      </c>
      <c r="G53">
        <f t="shared" si="13"/>
        <v>0</v>
      </c>
      <c r="H53">
        <f t="shared" si="14"/>
        <v>1.9999999999999907E-2</v>
      </c>
      <c r="J53">
        <f t="shared" si="15"/>
        <v>1.9999999999999907E-2</v>
      </c>
    </row>
    <row r="54" spans="1:10">
      <c r="A54">
        <f t="shared" si="11"/>
        <v>47</v>
      </c>
      <c r="B54">
        <f t="shared" si="12"/>
        <v>9</v>
      </c>
      <c r="C54">
        <f t="shared" si="6"/>
        <v>0.18</v>
      </c>
      <c r="E54">
        <f t="shared" si="0"/>
        <v>0.94</v>
      </c>
      <c r="F54">
        <f t="shared" si="7"/>
        <v>48</v>
      </c>
      <c r="G54">
        <f t="shared" si="13"/>
        <v>2.0000000000000018E-2</v>
      </c>
      <c r="H54">
        <f t="shared" si="14"/>
        <v>0</v>
      </c>
      <c r="J54">
        <f t="shared" si="15"/>
        <v>2.0000000000000018E-2</v>
      </c>
    </row>
    <row r="55" spans="1:10">
      <c r="A55">
        <f t="shared" si="11"/>
        <v>48</v>
      </c>
      <c r="B55">
        <f t="shared" si="12"/>
        <v>27</v>
      </c>
      <c r="C55">
        <f t="shared" si="6"/>
        <v>0.54</v>
      </c>
      <c r="E55">
        <f t="shared" si="0"/>
        <v>0.98</v>
      </c>
      <c r="F55">
        <f t="shared" si="7"/>
        <v>49</v>
      </c>
      <c r="G55">
        <f t="shared" si="13"/>
        <v>0</v>
      </c>
      <c r="H55">
        <f t="shared" si="14"/>
        <v>2.0000000000000018E-2</v>
      </c>
      <c r="J55">
        <f t="shared" si="15"/>
        <v>2.0000000000000018E-2</v>
      </c>
    </row>
    <row r="56" spans="1:10">
      <c r="A56">
        <f t="shared" si="11"/>
        <v>49</v>
      </c>
      <c r="B56">
        <f t="shared" si="12"/>
        <v>43</v>
      </c>
      <c r="C56">
        <f t="shared" si="6"/>
        <v>0.86</v>
      </c>
      <c r="E56">
        <f t="shared" si="0"/>
        <v>0.98</v>
      </c>
      <c r="F56">
        <f t="shared" si="7"/>
        <v>50</v>
      </c>
      <c r="G56">
        <f t="shared" si="13"/>
        <v>2.0000000000000018E-2</v>
      </c>
      <c r="H56">
        <f t="shared" si="14"/>
        <v>0</v>
      </c>
      <c r="J56">
        <f t="shared" si="15"/>
        <v>2.0000000000000018E-2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2BCC-2E57-43AF-83A4-3835DE3BD874}">
  <dimension ref="A1:M31"/>
  <sheetViews>
    <sheetView tabSelected="1" zoomScale="70" zoomScaleNormal="70" workbookViewId="0">
      <selection activeCell="E17" sqref="E17"/>
    </sheetView>
  </sheetViews>
  <sheetFormatPr defaultRowHeight="14.5"/>
  <cols>
    <col min="1" max="1" width="14.54296875" customWidth="1"/>
    <col min="3" max="3" width="15.36328125" customWidth="1"/>
    <col min="4" max="4" width="23.1796875" customWidth="1"/>
    <col min="5" max="5" width="17.6328125" customWidth="1"/>
    <col min="6" max="6" width="17.1796875" customWidth="1"/>
    <col min="7" max="7" width="20.36328125" customWidth="1"/>
    <col min="8" max="8" width="16.54296875" customWidth="1"/>
    <col min="9" max="9" width="13.36328125" customWidth="1"/>
    <col min="10" max="10" width="14.7265625" customWidth="1"/>
    <col min="12" max="12" width="35.6328125" customWidth="1"/>
    <col min="13" max="13" width="14.36328125" customWidth="1"/>
  </cols>
  <sheetData>
    <row r="1" spans="1:13">
      <c r="A1" t="s">
        <v>1072</v>
      </c>
      <c r="B1">
        <f>Histogram!E8</f>
        <v>8.3561348335017428E-3</v>
      </c>
      <c r="L1" t="s">
        <v>1053</v>
      </c>
      <c r="M1">
        <v>25</v>
      </c>
    </row>
    <row r="2" spans="1:13">
      <c r="A2" t="s">
        <v>1073</v>
      </c>
      <c r="B2">
        <v>1.2E-2</v>
      </c>
      <c r="L2" t="s">
        <v>1093</v>
      </c>
      <c r="M2">
        <f>AVERAGE(I7:I31)</f>
        <v>62.349760923884681</v>
      </c>
    </row>
    <row r="3" spans="1:13">
      <c r="L3" t="s">
        <v>1094</v>
      </c>
      <c r="M3">
        <f>AVERAGE(J7:J31)</f>
        <v>142.34488881786353</v>
      </c>
    </row>
    <row r="4" spans="1:13">
      <c r="L4" t="s">
        <v>1095</v>
      </c>
      <c r="M4">
        <f>AVERAGE(F7:F31)</f>
        <v>79.995127893978804</v>
      </c>
    </row>
    <row r="5" spans="1:13">
      <c r="A5" t="s">
        <v>1063</v>
      </c>
      <c r="B5" t="s">
        <v>1075</v>
      </c>
      <c r="C5" t="s">
        <v>1077</v>
      </c>
      <c r="D5" t="s">
        <v>1079</v>
      </c>
      <c r="E5" t="s">
        <v>1081</v>
      </c>
      <c r="F5" s="8" t="s">
        <v>1083</v>
      </c>
      <c r="G5" t="s">
        <v>1085</v>
      </c>
      <c r="H5" t="s">
        <v>1087</v>
      </c>
      <c r="I5" t="s">
        <v>1089</v>
      </c>
      <c r="J5" t="s">
        <v>1091</v>
      </c>
      <c r="L5" t="s">
        <v>1096</v>
      </c>
      <c r="M5">
        <f>$B$1/$B$2</f>
        <v>0.69634456945847856</v>
      </c>
    </row>
    <row r="6" spans="1:13" ht="29">
      <c r="A6" t="s">
        <v>1074</v>
      </c>
      <c r="B6" s="8" t="s">
        <v>1076</v>
      </c>
      <c r="C6" t="s">
        <v>1078</v>
      </c>
      <c r="D6" t="s">
        <v>1080</v>
      </c>
      <c r="E6" t="s">
        <v>1082</v>
      </c>
      <c r="F6" t="s">
        <v>1084</v>
      </c>
      <c r="G6" t="s">
        <v>1086</v>
      </c>
      <c r="H6" t="s">
        <v>1088</v>
      </c>
      <c r="I6" t="s">
        <v>1090</v>
      </c>
      <c r="J6" t="s">
        <v>1092</v>
      </c>
      <c r="L6" t="s">
        <v>1097</v>
      </c>
      <c r="M6">
        <f>$B$1*M2</f>
        <v>0.5210030091165786</v>
      </c>
    </row>
    <row r="7" spans="1:13">
      <c r="A7">
        <v>1</v>
      </c>
      <c r="B7" cm="1">
        <f t="array" ref="B7">INDEX(RNG!$C$7:$C$106, (A7-1)*2+1)</f>
        <v>0.14000000000000001</v>
      </c>
      <c r="C7">
        <f>-LN(B7)/$B$1</f>
        <v>235.28974765823742</v>
      </c>
      <c r="D7">
        <f>C7</f>
        <v>235.28974765823742</v>
      </c>
      <c r="E7" cm="1">
        <f t="array" ref="E7">INDEX(RNG!$C$7:$C$106, (A7-1)*2+2)</f>
        <v>0.06</v>
      </c>
      <c r="F7">
        <f>-LN(E7)/$B$2</f>
        <v>234.45089306333637</v>
      </c>
      <c r="G7">
        <f>D7</f>
        <v>235.28974765823742</v>
      </c>
      <c r="H7">
        <f>G7 + F7</f>
        <v>469.74064072157375</v>
      </c>
      <c r="I7">
        <f>G7 - D7</f>
        <v>0</v>
      </c>
      <c r="J7">
        <f>H7 - D7</f>
        <v>234.45089306333634</v>
      </c>
      <c r="L7" t="s">
        <v>1098</v>
      </c>
      <c r="M7">
        <f>$B$1*M3</f>
        <v>1.1894530838218822</v>
      </c>
    </row>
    <row r="8" spans="1:13">
      <c r="A8">
        <v>2</v>
      </c>
      <c r="B8" cm="1">
        <f t="array" ref="B8">INDEX(RNG!$C$7:$C$106, (A8-1)*2+1)</f>
        <v>0.1</v>
      </c>
      <c r="C8">
        <f t="shared" ref="C8:C31" si="0">-LN(B8)/$B$1</f>
        <v>275.55623968182408</v>
      </c>
      <c r="D8">
        <f>D7 + C8</f>
        <v>510.84598734006147</v>
      </c>
      <c r="E8" cm="1">
        <f t="array" ref="E8">INDEX(RNG!$C$7:$C$106, (A8-1)*2+2)</f>
        <v>0.57999999999999996</v>
      </c>
      <c r="F8">
        <f t="shared" ref="F8:F31" si="1">-LN(E8)/$B$2</f>
        <v>45.393931286806009</v>
      </c>
      <c r="G8">
        <f>MAX(D8,H7)</f>
        <v>510.84598734006147</v>
      </c>
      <c r="H8">
        <f t="shared" ref="H8:H20" si="2">G8 + F8</f>
        <v>556.23991862686751</v>
      </c>
      <c r="I8">
        <f t="shared" ref="I8:I20" si="3">G8 - D8</f>
        <v>0</v>
      </c>
      <c r="J8">
        <f t="shared" ref="J8:J20" si="4">H8 - D8</f>
        <v>45.393931286806037</v>
      </c>
    </row>
    <row r="9" spans="1:13">
      <c r="A9">
        <v>3</v>
      </c>
      <c r="B9" cm="1">
        <f t="array" ref="B9">INDEX(RNG!$C$7:$C$106, (A9-1)*2+1)</f>
        <v>0.34</v>
      </c>
      <c r="C9">
        <f t="shared" si="0"/>
        <v>129.10390783149214</v>
      </c>
      <c r="D9">
        <f t="shared" ref="D9:D31" si="5">D8 + C9</f>
        <v>639.94989517155364</v>
      </c>
      <c r="E9" cm="1">
        <f t="array" ref="E9">INDEX(RNG!$C$7:$C$106, (A9-1)*2+2)</f>
        <v>0.46</v>
      </c>
      <c r="F9">
        <f t="shared" si="1"/>
        <v>64.710732458249694</v>
      </c>
      <c r="G9">
        <f t="shared" ref="G9:G31" si="6">MAX(D9,H8)</f>
        <v>639.94989517155364</v>
      </c>
      <c r="H9">
        <f t="shared" si="2"/>
        <v>704.66062762980334</v>
      </c>
      <c r="I9">
        <f t="shared" si="3"/>
        <v>0</v>
      </c>
      <c r="J9">
        <f t="shared" si="4"/>
        <v>64.710732458249709</v>
      </c>
    </row>
    <row r="10" spans="1:13">
      <c r="A10">
        <v>4</v>
      </c>
      <c r="B10" cm="1">
        <f t="array" ref="B10">INDEX(RNG!$C$7:$C$106, (A10-1)*2+1)</f>
        <v>0.9</v>
      </c>
      <c r="C10">
        <f t="shared" si="0"/>
        <v>12.608762036176197</v>
      </c>
      <c r="D10">
        <f t="shared" si="5"/>
        <v>652.55865720772988</v>
      </c>
      <c r="E10" cm="1">
        <f t="array" ref="E10">INDEX(RNG!$C$7:$C$106, (A10-1)*2+2)</f>
        <v>0.18</v>
      </c>
      <c r="F10">
        <f t="shared" si="1"/>
        <v>142.89986900766056</v>
      </c>
      <c r="G10">
        <f t="shared" si="6"/>
        <v>704.66062762980334</v>
      </c>
      <c r="H10">
        <f t="shared" si="2"/>
        <v>847.56049663746387</v>
      </c>
      <c r="I10">
        <f t="shared" si="3"/>
        <v>52.101970422073464</v>
      </c>
      <c r="J10">
        <f t="shared" si="4"/>
        <v>195.00183942973399</v>
      </c>
    </row>
    <row r="11" spans="1:13">
      <c r="A11">
        <v>5</v>
      </c>
      <c r="B11" cm="1">
        <f t="array" ref="B11">INDEX(RNG!$C$7:$C$106, (A11-1)*2+1)</f>
        <v>0.54</v>
      </c>
      <c r="C11">
        <f t="shared" si="0"/>
        <v>73.740569258573871</v>
      </c>
      <c r="D11">
        <f t="shared" si="5"/>
        <v>726.29922646630371</v>
      </c>
      <c r="E11" cm="1">
        <f t="array" ref="E11">INDEX(RNG!$C$7:$C$106, (A11-1)*2+2)</f>
        <v>0.86</v>
      </c>
      <c r="F11">
        <f t="shared" si="1"/>
        <v>12.568574144548638</v>
      </c>
      <c r="G11">
        <f t="shared" si="6"/>
        <v>847.56049663746387</v>
      </c>
      <c r="H11">
        <f t="shared" si="2"/>
        <v>860.12907078201249</v>
      </c>
      <c r="I11">
        <f t="shared" si="3"/>
        <v>121.26127017116016</v>
      </c>
      <c r="J11">
        <f t="shared" si="4"/>
        <v>133.82984431570878</v>
      </c>
    </row>
    <row r="12" spans="1:13">
      <c r="A12">
        <v>6</v>
      </c>
      <c r="B12" cm="1">
        <f t="array" ref="B12">INDEX(RNG!$C$7:$C$106, (A12-1)*2+1)</f>
        <v>0.7</v>
      </c>
      <c r="C12">
        <f t="shared" si="0"/>
        <v>42.68420161301578</v>
      </c>
      <c r="D12">
        <f t="shared" si="5"/>
        <v>768.98342807931954</v>
      </c>
      <c r="E12" cm="1">
        <f t="array" ref="E12">INDEX(RNG!$C$7:$C$106, (A12-1)*2+2)</f>
        <v>0.78</v>
      </c>
      <c r="F12">
        <f t="shared" si="1"/>
        <v>20.705113274874968</v>
      </c>
      <c r="G12">
        <f t="shared" si="6"/>
        <v>860.12907078201249</v>
      </c>
      <c r="H12">
        <f t="shared" si="2"/>
        <v>880.83418405688747</v>
      </c>
      <c r="I12">
        <f t="shared" si="3"/>
        <v>91.145642702692953</v>
      </c>
      <c r="J12">
        <f t="shared" si="4"/>
        <v>111.85075597756793</v>
      </c>
    </row>
    <row r="13" spans="1:13">
      <c r="A13">
        <v>7</v>
      </c>
      <c r="B13" cm="1">
        <f t="array" ref="B13">INDEX(RNG!$C$7:$C$106, (A13-1)*2+1)</f>
        <v>0.74</v>
      </c>
      <c r="C13">
        <f t="shared" si="0"/>
        <v>36.034015580591074</v>
      </c>
      <c r="D13">
        <f t="shared" si="5"/>
        <v>805.01744365991067</v>
      </c>
      <c r="E13" cm="1">
        <f t="array" ref="E13">INDEX(RNG!$C$7:$C$106, (A13-1)*2+2)</f>
        <v>0.26</v>
      </c>
      <c r="F13">
        <f t="shared" si="1"/>
        <v>112.25613733055077</v>
      </c>
      <c r="G13">
        <f t="shared" si="6"/>
        <v>880.83418405688747</v>
      </c>
      <c r="H13">
        <f t="shared" si="2"/>
        <v>993.09032138743828</v>
      </c>
      <c r="I13">
        <f t="shared" si="3"/>
        <v>75.816740396976797</v>
      </c>
      <c r="J13">
        <f t="shared" si="4"/>
        <v>188.07287772752761</v>
      </c>
    </row>
    <row r="14" spans="1:13">
      <c r="A14">
        <v>8</v>
      </c>
      <c r="B14" cm="1">
        <f t="array" ref="B14">INDEX(RNG!$C$7:$C$106, (A14-1)*2+1)</f>
        <v>0.5</v>
      </c>
      <c r="C14">
        <f t="shared" si="0"/>
        <v>82.95069363660248</v>
      </c>
      <c r="D14">
        <f t="shared" si="5"/>
        <v>887.96813729651319</v>
      </c>
      <c r="E14" cm="1">
        <f t="array" ref="E14">INDEX(RNG!$C$7:$C$106, (A14-1)*2+2)</f>
        <v>0.38</v>
      </c>
      <c r="F14">
        <f t="shared" si="1"/>
        <v>80.632002188475468</v>
      </c>
      <c r="G14">
        <f t="shared" si="6"/>
        <v>993.09032138743828</v>
      </c>
      <c r="H14">
        <f t="shared" si="2"/>
        <v>1073.7223235759138</v>
      </c>
      <c r="I14">
        <f t="shared" si="3"/>
        <v>105.12218409092509</v>
      </c>
      <c r="J14">
        <f t="shared" si="4"/>
        <v>185.75418627940064</v>
      </c>
    </row>
    <row r="15" spans="1:13">
      <c r="A15">
        <v>9</v>
      </c>
      <c r="B15" cm="1">
        <f t="array" ref="B15">INDEX(RNG!$C$7:$C$106, (A15-1)*2+1)</f>
        <v>0.94</v>
      </c>
      <c r="C15">
        <f t="shared" si="0"/>
        <v>7.4047876142465103</v>
      </c>
      <c r="D15">
        <f t="shared" si="5"/>
        <v>895.37292491075971</v>
      </c>
      <c r="E15" cm="1">
        <f t="array" ref="E15">INDEX(RNG!$C$7:$C$106, (A15-1)*2+2)</f>
        <v>0.66</v>
      </c>
      <c r="F15">
        <f t="shared" si="1"/>
        <v>34.626286996805483</v>
      </c>
      <c r="G15">
        <f t="shared" si="6"/>
        <v>1073.7223235759138</v>
      </c>
      <c r="H15">
        <f t="shared" si="2"/>
        <v>1108.3486105727193</v>
      </c>
      <c r="I15">
        <f t="shared" si="3"/>
        <v>178.34939866515413</v>
      </c>
      <c r="J15">
        <f t="shared" si="4"/>
        <v>212.97568566195957</v>
      </c>
    </row>
    <row r="16" spans="1:13">
      <c r="A16">
        <v>10</v>
      </c>
      <c r="B16" cm="1">
        <f t="array" ref="B16">INDEX(RNG!$C$7:$C$106, (A16-1)*2+1)</f>
        <v>0.3</v>
      </c>
      <c r="C16">
        <f t="shared" si="0"/>
        <v>144.08250085900016</v>
      </c>
      <c r="D16">
        <f t="shared" si="5"/>
        <v>1039.4554257697598</v>
      </c>
      <c r="E16" cm="1">
        <f t="array" ref="E16">INDEX(RNG!$C$7:$C$106, (A16-1)*2+2)</f>
        <v>0.98</v>
      </c>
      <c r="F16">
        <f t="shared" si="1"/>
        <v>1.683558943126622</v>
      </c>
      <c r="G16">
        <f t="shared" si="6"/>
        <v>1108.3486105727193</v>
      </c>
      <c r="H16">
        <f t="shared" si="2"/>
        <v>1110.0321695158459</v>
      </c>
      <c r="I16">
        <f t="shared" si="3"/>
        <v>68.893184802959468</v>
      </c>
      <c r="J16">
        <f t="shared" si="4"/>
        <v>70.576743746086095</v>
      </c>
    </row>
    <row r="17" spans="1:10">
      <c r="A17">
        <v>11</v>
      </c>
      <c r="B17" cm="1">
        <f t="array" ref="B17">INDEX(RNG!$C$7:$C$106, (A17-1)*2+1)</f>
        <v>0.14000000000000001</v>
      </c>
      <c r="C17">
        <f t="shared" si="0"/>
        <v>235.28974765823742</v>
      </c>
      <c r="D17">
        <f t="shared" si="5"/>
        <v>1274.7451734279973</v>
      </c>
      <c r="E17" cm="1">
        <f t="array" ref="E17">INDEX(RNG!$C$7:$C$106, (A17-1)*2+2)</f>
        <v>0.06</v>
      </c>
      <c r="F17">
        <f t="shared" si="1"/>
        <v>234.45089306333637</v>
      </c>
      <c r="G17">
        <f t="shared" si="6"/>
        <v>1274.7451734279973</v>
      </c>
      <c r="H17">
        <f t="shared" si="2"/>
        <v>1509.1960664913336</v>
      </c>
      <c r="I17">
        <f t="shared" si="3"/>
        <v>0</v>
      </c>
      <c r="J17">
        <f t="shared" si="4"/>
        <v>234.45089306333625</v>
      </c>
    </row>
    <row r="18" spans="1:10">
      <c r="A18">
        <v>12</v>
      </c>
      <c r="B18" cm="1">
        <f t="array" ref="B18">INDEX(RNG!$C$7:$C$106, (A18-1)*2+1)</f>
        <v>0.1</v>
      </c>
      <c r="C18">
        <f t="shared" si="0"/>
        <v>275.55623968182408</v>
      </c>
      <c r="D18">
        <f t="shared" si="5"/>
        <v>1550.3014131098214</v>
      </c>
      <c r="E18" cm="1">
        <f t="array" ref="E18">INDEX(RNG!$C$7:$C$106, (A18-1)*2+2)</f>
        <v>0.57999999999999996</v>
      </c>
      <c r="F18">
        <f t="shared" si="1"/>
        <v>45.393931286806009</v>
      </c>
      <c r="G18">
        <f t="shared" si="6"/>
        <v>1550.3014131098214</v>
      </c>
      <c r="H18">
        <f t="shared" si="2"/>
        <v>1595.6953443966274</v>
      </c>
      <c r="I18">
        <f t="shared" si="3"/>
        <v>0</v>
      </c>
      <c r="J18">
        <f t="shared" si="4"/>
        <v>45.393931286806037</v>
      </c>
    </row>
    <row r="19" spans="1:10">
      <c r="A19">
        <v>13</v>
      </c>
      <c r="B19" cm="1">
        <f t="array" ref="B19">INDEX(RNG!$C$7:$C$106, (A19-1)*2+1)</f>
        <v>0.34</v>
      </c>
      <c r="C19">
        <f t="shared" si="0"/>
        <v>129.10390783149214</v>
      </c>
      <c r="D19">
        <f t="shared" si="5"/>
        <v>1679.4053209413134</v>
      </c>
      <c r="E19" cm="1">
        <f t="array" ref="E19">INDEX(RNG!$C$7:$C$106, (A19-1)*2+2)</f>
        <v>0.46</v>
      </c>
      <c r="F19">
        <f t="shared" si="1"/>
        <v>64.710732458249694</v>
      </c>
      <c r="G19">
        <f t="shared" si="6"/>
        <v>1679.4053209413134</v>
      </c>
      <c r="H19">
        <f t="shared" si="2"/>
        <v>1744.116053399563</v>
      </c>
      <c r="I19">
        <f t="shared" si="3"/>
        <v>0</v>
      </c>
      <c r="J19">
        <f t="shared" si="4"/>
        <v>64.710732458249595</v>
      </c>
    </row>
    <row r="20" spans="1:10">
      <c r="A20">
        <v>14</v>
      </c>
      <c r="B20" cm="1">
        <f t="array" ref="B20">INDEX(RNG!$C$7:$C$106, (A20-1)*2+1)</f>
        <v>0.9</v>
      </c>
      <c r="C20">
        <f t="shared" si="0"/>
        <v>12.608762036176197</v>
      </c>
      <c r="D20">
        <f t="shared" si="5"/>
        <v>1692.0140829774896</v>
      </c>
      <c r="E20" cm="1">
        <f t="array" ref="E20">INDEX(RNG!$C$7:$C$106, (A20-1)*2+2)</f>
        <v>0.18</v>
      </c>
      <c r="F20">
        <f t="shared" si="1"/>
        <v>142.89986900766056</v>
      </c>
      <c r="G20">
        <f t="shared" si="6"/>
        <v>1744.116053399563</v>
      </c>
      <c r="H20">
        <f t="shared" si="2"/>
        <v>1887.0159224072236</v>
      </c>
      <c r="I20">
        <f t="shared" si="3"/>
        <v>52.101970422073464</v>
      </c>
      <c r="J20">
        <f t="shared" si="4"/>
        <v>195.00183942973399</v>
      </c>
    </row>
    <row r="21" spans="1:10">
      <c r="A21">
        <v>15</v>
      </c>
      <c r="B21" cm="1">
        <f t="array" ref="B21">INDEX(RNG!$C$7:$C$106, (A21-1)*2+1)</f>
        <v>0.54</v>
      </c>
      <c r="C21">
        <f>-LN(B21)/$B$1</f>
        <v>73.740569258573871</v>
      </c>
      <c r="D21">
        <f t="shared" si="5"/>
        <v>1765.7546522360635</v>
      </c>
      <c r="E21" cm="1">
        <f t="array" ref="E21">INDEX(RNG!$C$7:$C$106, (A21-1)*2+2)</f>
        <v>0.86</v>
      </c>
      <c r="F21">
        <f>-LN(E21)/$B$2</f>
        <v>12.568574144548638</v>
      </c>
      <c r="G21">
        <f t="shared" si="6"/>
        <v>1887.0159224072236</v>
      </c>
      <c r="H21">
        <f>G21 + F21</f>
        <v>1899.5844965517722</v>
      </c>
      <c r="I21">
        <f>G21 - D21</f>
        <v>121.26127017116005</v>
      </c>
      <c r="J21">
        <f>H21 - D21</f>
        <v>133.82984431570867</v>
      </c>
    </row>
    <row r="22" spans="1:10">
      <c r="A22">
        <v>16</v>
      </c>
      <c r="B22" cm="1">
        <f t="array" ref="B22">INDEX(RNG!$C$7:$C$106, (A22-1)*2+1)</f>
        <v>0.7</v>
      </c>
      <c r="C22">
        <f t="shared" si="0"/>
        <v>42.68420161301578</v>
      </c>
      <c r="D22">
        <f t="shared" si="5"/>
        <v>1808.4388538490794</v>
      </c>
      <c r="E22" cm="1">
        <f t="array" ref="E22">INDEX(RNG!$C$7:$C$106, (A22-1)*2+2)</f>
        <v>0.78</v>
      </c>
      <c r="F22">
        <f t="shared" si="1"/>
        <v>20.705113274874968</v>
      </c>
      <c r="G22">
        <f t="shared" si="6"/>
        <v>1899.5844965517722</v>
      </c>
      <c r="H22">
        <f t="shared" ref="H22:H23" si="7">G22 + F22</f>
        <v>1920.2896098266472</v>
      </c>
      <c r="I22">
        <f t="shared" ref="I22:I23" si="8">G22 - D22</f>
        <v>91.14564270269284</v>
      </c>
      <c r="J22">
        <f t="shared" ref="J22:J23" si="9">H22 - D22</f>
        <v>111.85075597756781</v>
      </c>
    </row>
    <row r="23" spans="1:10">
      <c r="A23">
        <v>17</v>
      </c>
      <c r="B23" cm="1">
        <f t="array" ref="B23">INDEX(RNG!$C$7:$C$106, (A23-1)*2+1)</f>
        <v>0.74</v>
      </c>
      <c r="C23">
        <f t="shared" si="0"/>
        <v>36.034015580591074</v>
      </c>
      <c r="D23">
        <f t="shared" si="5"/>
        <v>1844.4728694296705</v>
      </c>
      <c r="E23" cm="1">
        <f t="array" ref="E23">INDEX(RNG!$C$7:$C$106, (A23-1)*2+2)</f>
        <v>0.26</v>
      </c>
      <c r="F23">
        <f t="shared" si="1"/>
        <v>112.25613733055077</v>
      </c>
      <c r="G23">
        <f t="shared" si="6"/>
        <v>1920.2896098266472</v>
      </c>
      <c r="H23">
        <f t="shared" si="7"/>
        <v>2032.5457471571979</v>
      </c>
      <c r="I23">
        <f t="shared" si="8"/>
        <v>75.816740396976684</v>
      </c>
      <c r="J23">
        <f t="shared" si="9"/>
        <v>188.07287772752738</v>
      </c>
    </row>
    <row r="24" spans="1:10">
      <c r="A24">
        <v>18</v>
      </c>
      <c r="B24" cm="1">
        <f t="array" ref="B24">INDEX(RNG!$C$7:$C$106, (A24-1)*2+1)</f>
        <v>0.5</v>
      </c>
      <c r="C24">
        <f>-LN(B24)/$B$1</f>
        <v>82.95069363660248</v>
      </c>
      <c r="D24">
        <f t="shared" si="5"/>
        <v>1927.4235630662729</v>
      </c>
      <c r="E24" cm="1">
        <f t="array" ref="E24">INDEX(RNG!$C$7:$C$106, (A24-1)*2+2)</f>
        <v>0.38</v>
      </c>
      <c r="F24">
        <f>-LN(E24)/$B$2</f>
        <v>80.632002188475468</v>
      </c>
      <c r="G24">
        <f t="shared" si="6"/>
        <v>2032.5457471571979</v>
      </c>
      <c r="H24">
        <f>G24 + F24</f>
        <v>2113.1777493456734</v>
      </c>
      <c r="I24">
        <f>G24 - D24</f>
        <v>105.12218409092497</v>
      </c>
      <c r="J24">
        <f>H24 - D24</f>
        <v>185.75418627940053</v>
      </c>
    </row>
    <row r="25" spans="1:10">
      <c r="A25">
        <v>19</v>
      </c>
      <c r="B25" cm="1">
        <f t="array" ref="B25">INDEX(RNG!$C$7:$C$106, (A25-1)*2+1)</f>
        <v>0.94</v>
      </c>
      <c r="C25">
        <f t="shared" si="0"/>
        <v>7.4047876142465103</v>
      </c>
      <c r="D25">
        <f t="shared" si="5"/>
        <v>1934.8283506805194</v>
      </c>
      <c r="E25" cm="1">
        <f t="array" ref="E25">INDEX(RNG!$C$7:$C$106, (A25-1)*2+2)</f>
        <v>0.66</v>
      </c>
      <c r="F25">
        <f t="shared" si="1"/>
        <v>34.626286996805483</v>
      </c>
      <c r="G25">
        <f t="shared" si="6"/>
        <v>2113.1777493456734</v>
      </c>
      <c r="H25">
        <f t="shared" ref="H25:H31" si="10">G25 + F25</f>
        <v>2147.8040363424789</v>
      </c>
      <c r="I25">
        <f t="shared" ref="I25:I31" si="11">G25 - D25</f>
        <v>178.34939866515401</v>
      </c>
      <c r="J25">
        <f t="shared" ref="J25:J31" si="12">H25 - D25</f>
        <v>212.97568566195946</v>
      </c>
    </row>
    <row r="26" spans="1:10">
      <c r="A26">
        <v>20</v>
      </c>
      <c r="B26" cm="1">
        <f t="array" ref="B26">INDEX(RNG!$C$7:$C$106, (A26-1)*2+1)</f>
        <v>0.3</v>
      </c>
      <c r="C26">
        <f t="shared" si="0"/>
        <v>144.08250085900016</v>
      </c>
      <c r="D26">
        <f t="shared" si="5"/>
        <v>2078.9108515395196</v>
      </c>
      <c r="E26" cm="1">
        <f t="array" ref="E26">INDEX(RNG!$C$7:$C$106, (A26-1)*2+2)</f>
        <v>0.98</v>
      </c>
      <c r="F26">
        <f t="shared" si="1"/>
        <v>1.683558943126622</v>
      </c>
      <c r="G26">
        <f t="shared" si="6"/>
        <v>2147.8040363424789</v>
      </c>
      <c r="H26">
        <f t="shared" si="10"/>
        <v>2149.4875952856055</v>
      </c>
      <c r="I26">
        <f t="shared" si="11"/>
        <v>68.89318480295924</v>
      </c>
      <c r="J26">
        <f t="shared" si="12"/>
        <v>70.576743746085867</v>
      </c>
    </row>
    <row r="27" spans="1:10">
      <c r="A27">
        <v>21</v>
      </c>
      <c r="B27" cm="1">
        <f t="array" ref="B27">INDEX(RNG!$C$7:$C$106, (A27-1)*2+1)</f>
        <v>0.14000000000000001</v>
      </c>
      <c r="C27">
        <f t="shared" si="0"/>
        <v>235.28974765823742</v>
      </c>
      <c r="D27">
        <f t="shared" si="5"/>
        <v>2314.2005991977571</v>
      </c>
      <c r="E27" cm="1">
        <f t="array" ref="E27">INDEX(RNG!$C$7:$C$106, (A27-1)*2+2)</f>
        <v>0.06</v>
      </c>
      <c r="F27">
        <f t="shared" si="1"/>
        <v>234.45089306333637</v>
      </c>
      <c r="G27">
        <f t="shared" si="6"/>
        <v>2314.2005991977571</v>
      </c>
      <c r="H27">
        <f t="shared" si="10"/>
        <v>2548.6514922610936</v>
      </c>
      <c r="I27">
        <f t="shared" si="11"/>
        <v>0</v>
      </c>
      <c r="J27">
        <f t="shared" si="12"/>
        <v>234.45089306333648</v>
      </c>
    </row>
    <row r="28" spans="1:10">
      <c r="A28">
        <v>22</v>
      </c>
      <c r="B28" cm="1">
        <f t="array" ref="B28">INDEX(RNG!$C$7:$C$106, (A28-1)*2+1)</f>
        <v>0.1</v>
      </c>
      <c r="C28">
        <f t="shared" si="0"/>
        <v>275.55623968182408</v>
      </c>
      <c r="D28">
        <f t="shared" si="5"/>
        <v>2589.7568388795812</v>
      </c>
      <c r="E28" cm="1">
        <f t="array" ref="E28">INDEX(RNG!$C$7:$C$106, (A28-1)*2+2)</f>
        <v>0.57999999999999996</v>
      </c>
      <c r="F28">
        <f t="shared" si="1"/>
        <v>45.393931286806009</v>
      </c>
      <c r="G28">
        <f t="shared" si="6"/>
        <v>2589.7568388795812</v>
      </c>
      <c r="H28">
        <f t="shared" si="10"/>
        <v>2635.1507701663872</v>
      </c>
      <c r="I28">
        <f t="shared" si="11"/>
        <v>0</v>
      </c>
      <c r="J28">
        <f t="shared" si="12"/>
        <v>45.393931286806037</v>
      </c>
    </row>
    <row r="29" spans="1:10">
      <c r="A29">
        <v>23</v>
      </c>
      <c r="B29" cm="1">
        <f t="array" ref="B29">INDEX(RNG!$C$7:$C$106, (A29-1)*2+1)</f>
        <v>0.34</v>
      </c>
      <c r="C29">
        <f t="shared" si="0"/>
        <v>129.10390783149214</v>
      </c>
      <c r="D29">
        <f t="shared" si="5"/>
        <v>2718.8607467110733</v>
      </c>
      <c r="E29" cm="1">
        <f t="array" ref="E29">INDEX(RNG!$C$7:$C$106, (A29-1)*2+2)</f>
        <v>0.46</v>
      </c>
      <c r="F29">
        <f t="shared" si="1"/>
        <v>64.710732458249694</v>
      </c>
      <c r="G29">
        <f t="shared" si="6"/>
        <v>2718.8607467110733</v>
      </c>
      <c r="H29">
        <f t="shared" si="10"/>
        <v>2783.5714791693231</v>
      </c>
      <c r="I29">
        <f t="shared" si="11"/>
        <v>0</v>
      </c>
      <c r="J29">
        <f t="shared" si="12"/>
        <v>64.710732458249822</v>
      </c>
    </row>
    <row r="30" spans="1:10">
      <c r="A30">
        <v>24</v>
      </c>
      <c r="B30" cm="1">
        <f t="array" ref="B30">INDEX(RNG!$C$7:$C$106, (A30-1)*2+1)</f>
        <v>0.9</v>
      </c>
      <c r="C30">
        <f t="shared" si="0"/>
        <v>12.608762036176197</v>
      </c>
      <c r="D30">
        <f t="shared" si="5"/>
        <v>2731.4695087472496</v>
      </c>
      <c r="E30" cm="1">
        <f t="array" ref="E30">INDEX(RNG!$C$7:$C$106, (A30-1)*2+2)</f>
        <v>0.18</v>
      </c>
      <c r="F30">
        <f t="shared" si="1"/>
        <v>142.89986900766056</v>
      </c>
      <c r="G30">
        <f t="shared" si="6"/>
        <v>2783.5714791693231</v>
      </c>
      <c r="H30">
        <f t="shared" si="10"/>
        <v>2926.4713481769836</v>
      </c>
      <c r="I30">
        <f t="shared" si="11"/>
        <v>52.101970422073464</v>
      </c>
      <c r="J30">
        <f t="shared" si="12"/>
        <v>195.00183942973399</v>
      </c>
    </row>
    <row r="31" spans="1:10">
      <c r="A31">
        <v>25</v>
      </c>
      <c r="B31" cm="1">
        <f t="array" ref="B31">INDEX(RNG!$C$7:$C$106, (A31-1)*2+1)</f>
        <v>0.54</v>
      </c>
      <c r="C31">
        <f t="shared" si="0"/>
        <v>73.740569258573871</v>
      </c>
      <c r="D31">
        <f t="shared" si="5"/>
        <v>2805.2100780058236</v>
      </c>
      <c r="E31" cm="1">
        <f t="array" ref="E31">INDEX(RNG!$C$7:$C$106, (A31-1)*2+2)</f>
        <v>0.86</v>
      </c>
      <c r="F31">
        <f t="shared" si="1"/>
        <v>12.568574144548638</v>
      </c>
      <c r="G31">
        <f t="shared" si="6"/>
        <v>2926.4713481769836</v>
      </c>
      <c r="H31">
        <f t="shared" si="10"/>
        <v>2939.0399223215322</v>
      </c>
      <c r="I31">
        <f t="shared" si="11"/>
        <v>121.26127017116005</v>
      </c>
      <c r="J31">
        <f t="shared" si="12"/>
        <v>133.82984431570867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SuperMarket</vt:lpstr>
      <vt:lpstr>Histogram Analizi</vt:lpstr>
      <vt:lpstr>Histogram</vt:lpstr>
      <vt:lpstr>RNG</vt:lpstr>
      <vt:lpstr>Simulasyon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 Capar</cp:lastModifiedBy>
  <cp:lastPrinted>2025-12-15T15:47:00Z</cp:lastPrinted>
  <dcterms:created xsi:type="dcterms:W3CDTF">2025-12-14T14:55:39Z</dcterms:created>
  <dcterms:modified xsi:type="dcterms:W3CDTF">2025-12-15T15:50:38Z</dcterms:modified>
</cp:coreProperties>
</file>